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em\Downloads\"/>
    </mc:Choice>
  </mc:AlternateContent>
  <xr:revisionPtr revIDLastSave="0" documentId="13_ncr:1_{B70B824E-89ED-4CA4-853D-476176323BCE}" xr6:coauthVersionLast="47" xr6:coauthVersionMax="47" xr10:uidLastSave="{00000000-0000-0000-0000-000000000000}"/>
  <bookViews>
    <workbookView xWindow="-108" yWindow="-108" windowWidth="23256" windowHeight="13176" xr2:uid="{28D84E9A-BBC6-4EA4-B94D-E75157DFE3A3}"/>
  </bookViews>
  <sheets>
    <sheet name="Pivot Report" sheetId="2" r:id="rId1"/>
    <sheet name="Dashboard" sheetId="1" r:id="rId2"/>
    <sheet name="Daily ER No of Patient" sheetId="3" r:id="rId3"/>
    <sheet name="Average with time daily trend" sheetId="4" r:id="rId4"/>
    <sheet name="Satisfaction Score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586b4a7-0e1d-4cfb-8656-203561339025" name="Hospital Emergency Room Data" connection="Query - Hospital Emergency Room Data"/>
          <x15:modelTable id="Calendar Table_8b21c922-8f22-40dc-bf03-1566fdea8e2e"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5" i="2" l="1"/>
  <c r="D45" i="2"/>
  <c r="C44" i="2"/>
  <c r="D44" i="2"/>
  <c r="B44" i="2"/>
  <c r="B4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5863B5-DE28-4247-B82F-BE14DF0AD9AA}" name="Query - Calendar Table" description="Connection to the 'Calendar Table' query in the workbook." type="100" refreshedVersion="8" minRefreshableVersion="5">
    <extLst>
      <ext xmlns:x15="http://schemas.microsoft.com/office/spreadsheetml/2010/11/main" uri="{DE250136-89BD-433C-8126-D09CA5730AF9}">
        <x15:connection id="b599a014-06b9-4a84-9266-b54825ceb5f1">
          <x15:oledbPr connection="Provider=Microsoft.Mashup.OleDb.1;Data Source=$Workbook$;Location=&quot;Calendar Table&quot;;Extended Properties=&quot;&quot;">
            <x15:dbTables>
              <x15:dbTable name="Calendar Table"/>
            </x15:dbTables>
          </x15:oledbPr>
        </x15:connection>
      </ext>
    </extLst>
  </connection>
  <connection id="2" xr16:uid="{4E279748-F1FE-4F7C-B368-66C96C398E2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1ee6e31-9017-43fb-912c-2a925c4dd0d8">
          <x15:oledbPr connection="Provider=Microsoft.Mashup.OleDb.1;Data Source=$Workbook$;Location=&quot;Hospital Emergency Room Data&quot;;Extended Properties=&quot;&quot;">
            <x15:dbTables>
              <x15:dbTable name="Hospital Emergency Room Data"/>
            </x15:dbTables>
          </x15:oledbPr>
        </x15:connection>
      </ext>
    </extLst>
  </connection>
  <connection id="3" xr16:uid="{1F0E5B8E-063E-4D9A-97AB-1B0A171D7F8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<sst xmlns="http://schemas.openxmlformats.org/spreadsheetml/2006/main" count="226" uniqueCount="77">
  <si>
    <t>Distinct Count of Patient Id</t>
  </si>
  <si>
    <t>No. Of Patient</t>
  </si>
  <si>
    <t>Average of Patient Waittime</t>
  </si>
  <si>
    <t>Average of Patient Satisfaction Score</t>
  </si>
  <si>
    <t>Row Labels</t>
  </si>
  <si>
    <t>Grand Total</t>
  </si>
  <si>
    <t xml:space="preserve"> </t>
  </si>
  <si>
    <t>Daily trends of no patient</t>
  </si>
  <si>
    <t>average with time</t>
  </si>
  <si>
    <t>d</t>
  </si>
  <si>
    <t>Satisfaction Score daily trend</t>
  </si>
  <si>
    <t>Admitted</t>
  </si>
  <si>
    <t>Not Admitted</t>
  </si>
  <si>
    <t>Count of Patient Admission Flag</t>
  </si>
  <si>
    <t>Count of Patient Admission Flag2</t>
  </si>
  <si>
    <t>Admission Status</t>
  </si>
  <si>
    <t>No. of Patient</t>
  </si>
  <si>
    <t>% Status</t>
  </si>
  <si>
    <t>Count of Age Group</t>
  </si>
  <si>
    <t>0-09</t>
  </si>
  <si>
    <t>10-19</t>
  </si>
  <si>
    <t>20-29</t>
  </si>
  <si>
    <t>30-39</t>
  </si>
  <si>
    <t>40-49</t>
  </si>
  <si>
    <t>50-59</t>
  </si>
  <si>
    <t>60-69</t>
  </si>
  <si>
    <t>70-79</t>
  </si>
  <si>
    <t>age group wise analysis</t>
  </si>
  <si>
    <t>Count of Patient Attend Status</t>
  </si>
  <si>
    <t>Ontime</t>
  </si>
  <si>
    <t>Delay</t>
  </si>
  <si>
    <t>Attended status</t>
  </si>
  <si>
    <t>Count of Patient Gender</t>
  </si>
  <si>
    <t>Female</t>
  </si>
  <si>
    <t>Male</t>
  </si>
  <si>
    <t>Gendar</t>
  </si>
  <si>
    <t>Cardiology</t>
  </si>
  <si>
    <t>Gastroenterology</t>
  </si>
  <si>
    <t>General Practice</t>
  </si>
  <si>
    <t>Neurology</t>
  </si>
  <si>
    <t>None</t>
  </si>
  <si>
    <t>Orthopedics</t>
  </si>
  <si>
    <t>Physiotherapy</t>
  </si>
  <si>
    <t>Renal</t>
  </si>
  <si>
    <t>Count of Department Referral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</si>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</sst>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tint="0.1499984740745262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s>
  <fills count="7">
    <fill>
      <patternFill patternType="none"/>
    </fill>
    <fill>
      <patternFill patternType="gray125"/>
    </fill>
    <fill>
      <patternFill patternType="solid">
        <fgColor theme="1" tint="4.9989318521683403E-2"/>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8" tint="-0.249977111117893"/>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3" borderId="0" xfId="0" applyFont="1" applyFill="1"/>
    <xf numFmtId="0" fontId="0" fillId="0" borderId="0" xfId="0" applyAlignment="1">
      <alignment horizontal="center"/>
    </xf>
    <xf numFmtId="0" fontId="0" fillId="0" borderId="0" xfId="0" pivotButton="1" applyAlignment="1">
      <alignment horizontal="center"/>
    </xf>
    <xf numFmtId="2" fontId="0" fillId="0" borderId="0" xfId="0" applyNumberFormat="1" applyAlignment="1">
      <alignment horizontal="center"/>
    </xf>
    <xf numFmtId="0" fontId="3" fillId="4" borderId="1" xfId="0" applyFont="1" applyFill="1" applyBorder="1" applyAlignment="1">
      <alignment horizontal="center"/>
    </xf>
    <xf numFmtId="2" fontId="3" fillId="4" borderId="2" xfId="0" applyNumberFormat="1" applyFont="1" applyFill="1" applyBorder="1" applyAlignment="1">
      <alignment horizontal="center"/>
    </xf>
    <xf numFmtId="10" fontId="0" fillId="0" borderId="0" xfId="0" applyNumberFormat="1"/>
    <xf numFmtId="0" fontId="0" fillId="5" borderId="0" xfId="0" applyFill="1"/>
    <xf numFmtId="0" fontId="0" fillId="5" borderId="0" xfId="0" applyFill="1" applyAlignment="1">
      <alignment horizontal="center"/>
    </xf>
    <xf numFmtId="9" fontId="0" fillId="5" borderId="0" xfId="1" applyFont="1" applyFill="1" applyAlignment="1">
      <alignment horizontal="center"/>
    </xf>
    <xf numFmtId="0" fontId="0" fillId="6" borderId="0" xfId="0" applyFill="1" applyAlignment="1">
      <alignment horizontal="center"/>
    </xf>
    <xf numFmtId="0" fontId="0" fillId="6" borderId="0" xfId="0" applyFill="1"/>
    <xf numFmtId="0" fontId="4" fillId="0" borderId="0" xfId="0" applyFont="1"/>
    <xf numFmtId="1" fontId="0" fillId="0" borderId="0" xfId="0" applyNumberFormat="1"/>
    <xf numFmtId="0" fontId="3" fillId="4" borderId="1" xfId="0" applyFont="1" applyFill="1" applyBorder="1"/>
    <xf numFmtId="0" fontId="3" fillId="0" borderId="1" xfId="0" applyFont="1" applyBorder="1" applyAlignment="1">
      <alignment horizontal="left"/>
    </xf>
  </cellXfs>
  <cellStyles count="2">
    <cellStyle name="Normal" xfId="0" builtinId="0"/>
    <cellStyle name="Percent" xfId="1" builtinId="5"/>
  </cellStyles>
  <dxfs count="34">
    <dxf>
      <numFmt numFmtId="1" formatCode="0"/>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14" formatCode="0.00%"/>
    </dxf>
    <dxf>
      <numFmt numFmtId="2" formatCode="0.00"/>
    </dxf>
    <dxf>
      <numFmt numFmtId="1" formatCode="0"/>
    </dxf>
    <dxf>
      <numFmt numFmtId="2" formatCode="0.00"/>
    </dxf>
    <dxf>
      <numFmt numFmtId="1" formatCode="0"/>
    </dxf>
    <dxf>
      <numFmt numFmtId="1" formatCode="0"/>
    </dxf>
    <dxf>
      <font>
        <sz val="8"/>
      </font>
      <fill>
        <patternFill patternType="solid">
          <bgColor rgb="FFFF0000"/>
        </patternFill>
      </fill>
      <border diagonalUp="0" diagonalDown="0">
        <left/>
        <right/>
        <top/>
        <bottom/>
        <vertical/>
        <horizontal/>
      </border>
    </dxf>
    <dxf>
      <font>
        <b/>
        <color theme="1"/>
      </font>
      <border>
        <bottom style="thin">
          <color theme="5"/>
        </bottom>
        <vertical/>
        <horizontal/>
      </border>
    </dxf>
    <dxf>
      <font>
        <sz val="8"/>
        <color rgb="FFFF0000"/>
      </font>
      <fill>
        <patternFill>
          <bgColor theme="0"/>
        </patternFill>
      </fill>
      <border diagonalUp="0" diagonalDown="0">
        <left style="thin">
          <color rgb="FFFF0000"/>
        </left>
        <right style="thin">
          <color rgb="FFFF0000"/>
        </right>
        <top style="thin">
          <color rgb="FFFF0000"/>
        </top>
        <bottom style="thin">
          <color rgb="FFFF0000"/>
        </bottom>
        <vertical/>
        <horizontal/>
      </border>
    </dxf>
    <dxf>
      <font>
        <b/>
        <color theme="1"/>
      </font>
      <border>
        <bottom style="thin">
          <color theme="4"/>
        </bottom>
        <vertical/>
        <horizontal/>
      </border>
    </dxf>
    <dxf>
      <font>
        <sz val="10"/>
        <color theme="1"/>
      </font>
      <border diagonalUp="0" diagonalDown="0">
        <left/>
        <right/>
        <top/>
        <bottom/>
        <vertical/>
        <horizontal/>
      </border>
    </dxf>
  </dxfs>
  <tableStyles count="3" defaultTableStyle="TableStyleMedium2" defaultPivotStyle="PivotStyleLight16">
    <tableStyle name=" 2" pivot="0" table="0" count="10" xr9:uid="{FD3DF920-3457-4C21-9EE3-B211632EFC71}">
      <tableStyleElement type="wholeTable" dxfId="33"/>
      <tableStyleElement type="headerRow" dxfId="32"/>
    </tableStyle>
    <tableStyle name="my style" pivot="0" table="0" count="10" xr9:uid="{3AAF167F-8D0B-4530-A9FA-DE2E4731E067}">
      <tableStyleElement type="wholeTable" dxfId="31"/>
      <tableStyleElement type="headerRow" dxfId="30"/>
    </tableStyle>
    <tableStyle name="My Style " pivot="0" table="0" count="1" xr9:uid="{7E4A1440-2F10-4086-A4EF-A3527BC94821}">
      <tableStyleElement type="wholeTable" dxfId="29"/>
    </tableStyle>
  </tableStyles>
  <colors>
    <mruColors>
      <color rgb="FFFFB7B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5.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66B16E04-4E8B-4665-A92E-0BE3C531F2D2}" type="CELLRANGE">
                  <a:rPr lang="en-US" sz="700"/>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pivotFmt>
    </c:pivotFmts>
    <c:plotArea>
      <c:layout>
        <c:manualLayout>
          <c:layoutTarget val="inner"/>
          <c:xMode val="edge"/>
          <c:yMode val="edge"/>
          <c:x val="5.3377469912869249E-3"/>
          <c:y val="7.3606811878188932E-2"/>
          <c:w val="0.99466256343256287"/>
          <c:h val="0.9179546126612691"/>
        </c:manualLayout>
      </c:layout>
      <c:barChart>
        <c:barDir val="bar"/>
        <c:grouping val="clustered"/>
        <c:varyColors val="0"/>
        <c:ser>
          <c:idx val="0"/>
          <c:order val="0"/>
          <c:tx>
            <c:strRef>
              <c:f>'Pivot Report'!$C$37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D27-4C9C-A92C-4DB176DF4DB0}"/>
              </c:ext>
            </c:extLst>
          </c:dPt>
          <c:dPt>
            <c:idx val="1"/>
            <c:invertIfNegative val="0"/>
            <c:bubble3D val="0"/>
            <c:extLst>
              <c:ext xmlns:c16="http://schemas.microsoft.com/office/drawing/2014/chart" uri="{C3380CC4-5D6E-409C-BE32-E72D297353CC}">
                <c16:uniqueId val="{00000001-8D27-4C9C-A92C-4DB176DF4DB0}"/>
              </c:ext>
            </c:extLst>
          </c:dPt>
          <c:dLbls>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66B16E04-4E8B-4665-A92E-0BE3C531F2D2}" type="CELLRANGE">
                      <a:rPr lang="en-US" sz="700"/>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0-8D27-4C9C-A92C-4DB176DF4DB0}"/>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 Report'!$B$38:$B$40</c:f>
              <c:strCache>
                <c:ptCount val="2"/>
                <c:pt idx="0">
                  <c:v>Admitted</c:v>
                </c:pt>
                <c:pt idx="1">
                  <c:v>Not Admitted</c:v>
                </c:pt>
              </c:strCache>
            </c:strRef>
          </c:cat>
          <c:val>
            <c:numRef>
              <c:f>'Pivot Report'!$C$38:$C$40</c:f>
              <c:numCache>
                <c:formatCode>0.00</c:formatCode>
                <c:ptCount val="2"/>
                <c:pt idx="0">
                  <c:v>266</c:v>
                </c:pt>
                <c:pt idx="1">
                  <c:v>222</c:v>
                </c:pt>
              </c:numCache>
            </c:numRef>
          </c:val>
          <c:extLst>
            <c:ext xmlns:c16="http://schemas.microsoft.com/office/drawing/2014/chart" uri="{C3380CC4-5D6E-409C-BE32-E72D297353CC}">
              <c16:uniqueId val="{00000005-E688-44C6-895B-D7028513EA1A}"/>
            </c:ext>
          </c:extLst>
        </c:ser>
        <c:ser>
          <c:idx val="1"/>
          <c:order val="1"/>
          <c:tx>
            <c:strRef>
              <c:f>'Pivot Report'!$D$37</c:f>
              <c:strCache>
                <c:ptCount val="1"/>
                <c:pt idx="0">
                  <c:v>Count of Patient Admission Flag2</c:v>
                </c:pt>
              </c:strCache>
            </c:strRef>
          </c:tx>
          <c:spPr>
            <a:solidFill>
              <a:schemeClr val="accent2"/>
            </a:solidFill>
            <a:ln>
              <a:noFill/>
            </a:ln>
            <a:effectLst/>
          </c:spPr>
          <c:invertIfNegative val="0"/>
          <c:cat>
            <c:strRef>
              <c:f>'Pivot Report'!$B$38:$B$40</c:f>
              <c:strCache>
                <c:ptCount val="2"/>
                <c:pt idx="0">
                  <c:v>Admitted</c:v>
                </c:pt>
                <c:pt idx="1">
                  <c:v>Not Admitted</c:v>
                </c:pt>
              </c:strCache>
            </c:strRef>
          </c:cat>
          <c:val>
            <c:numRef>
              <c:f>'Pivot Report'!$D$38:$D$40</c:f>
              <c:numCache>
                <c:formatCode>0.00%</c:formatCode>
                <c:ptCount val="2"/>
                <c:pt idx="0">
                  <c:v>0.54508196721311475</c:v>
                </c:pt>
                <c:pt idx="1">
                  <c:v>0.45491803278688525</c:v>
                </c:pt>
              </c:numCache>
            </c:numRef>
          </c:val>
          <c:extLst>
            <c:ext xmlns:c16="http://schemas.microsoft.com/office/drawing/2014/chart" uri="{C3380CC4-5D6E-409C-BE32-E72D297353CC}">
              <c16:uniqueId val="{00000006-E688-44C6-895B-D7028513EA1A}"/>
            </c:ext>
          </c:extLst>
        </c:ser>
        <c:dLbls>
          <c:showLegendKey val="0"/>
          <c:showVal val="0"/>
          <c:showCatName val="0"/>
          <c:showSerName val="0"/>
          <c:showPercent val="0"/>
          <c:showBubbleSize val="0"/>
        </c:dLbls>
        <c:gapWidth val="30"/>
        <c:axId val="1308646304"/>
        <c:axId val="1308646784"/>
      </c:barChart>
      <c:catAx>
        <c:axId val="1308646304"/>
        <c:scaling>
          <c:orientation val="minMax"/>
        </c:scaling>
        <c:delete val="1"/>
        <c:axPos val="l"/>
        <c:numFmt formatCode="General" sourceLinked="1"/>
        <c:majorTickMark val="out"/>
        <c:minorTickMark val="none"/>
        <c:tickLblPos val="nextTo"/>
        <c:crossAx val="1308646784"/>
        <c:crosses val="autoZero"/>
        <c:auto val="1"/>
        <c:lblAlgn val="ctr"/>
        <c:lblOffset val="100"/>
        <c:noMultiLvlLbl val="0"/>
      </c:catAx>
      <c:valAx>
        <c:axId val="1308646784"/>
        <c:scaling>
          <c:orientation val="minMax"/>
        </c:scaling>
        <c:delete val="1"/>
        <c:axPos val="b"/>
        <c:numFmt formatCode="0.00" sourceLinked="1"/>
        <c:majorTickMark val="none"/>
        <c:minorTickMark val="none"/>
        <c:tickLblPos val="nextTo"/>
        <c:crossAx val="130864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94917740462361E-2"/>
          <c:y val="0.19233233013167969"/>
          <c:w val="0.93405053128265847"/>
          <c:h val="0.36388021705304208"/>
        </c:manualLayout>
      </c:layout>
      <c:areaChart>
        <c:grouping val="stacked"/>
        <c:varyColors val="0"/>
        <c:ser>
          <c:idx val="0"/>
          <c:order val="0"/>
          <c:tx>
            <c:strRef>
              <c:f>'Pivot Report'!$E$3</c:f>
              <c:strCache>
                <c:ptCount val="1"/>
                <c:pt idx="0">
                  <c:v>Total</c:v>
                </c:pt>
              </c:strCache>
            </c:strRef>
          </c:tx>
          <c:spPr>
            <a:solidFill>
              <a:schemeClr val="accent1"/>
            </a:solidFill>
            <a:ln w="25400">
              <a:noFill/>
            </a:ln>
            <a:effectLst/>
          </c:spPr>
          <c:cat>
            <c:strRef>
              <c:f>'Pivot Report'!$D$4:$D$35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Report'!$E$4:$E$35</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2-03E3-4844-A36E-D5DC2149AAA2}"/>
            </c:ext>
          </c:extLst>
        </c:ser>
        <c:dLbls>
          <c:showLegendKey val="0"/>
          <c:showVal val="0"/>
          <c:showCatName val="0"/>
          <c:showSerName val="0"/>
          <c:showPercent val="0"/>
          <c:showBubbleSize val="0"/>
        </c:dLbls>
        <c:axId val="2068109071"/>
        <c:axId val="2068108591"/>
      </c:areaChart>
      <c:catAx>
        <c:axId val="2068109071"/>
        <c:scaling>
          <c:orientation val="minMax"/>
        </c:scaling>
        <c:delete val="1"/>
        <c:axPos val="b"/>
        <c:numFmt formatCode="General" sourceLinked="1"/>
        <c:majorTickMark val="out"/>
        <c:minorTickMark val="none"/>
        <c:tickLblPos val="nextTo"/>
        <c:crossAx val="2068108591"/>
        <c:crosses val="autoZero"/>
        <c:auto val="1"/>
        <c:lblAlgn val="ctr"/>
        <c:lblOffset val="100"/>
        <c:noMultiLvlLbl val="0"/>
      </c:catAx>
      <c:valAx>
        <c:axId val="2068108591"/>
        <c:scaling>
          <c:orientation val="minMax"/>
        </c:scaling>
        <c:delete val="1"/>
        <c:axPos val="l"/>
        <c:numFmt formatCode="General" sourceLinked="1"/>
        <c:majorTickMark val="none"/>
        <c:minorTickMark val="none"/>
        <c:tickLblPos val="nextTo"/>
        <c:crossAx val="2068109071"/>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5725650911865592"/>
          <c:w val="1"/>
          <c:h val="0.50877229996184814"/>
        </c:manualLayout>
      </c:layout>
      <c:areaChart>
        <c:grouping val="standard"/>
        <c:varyColors val="0"/>
        <c:ser>
          <c:idx val="0"/>
          <c:order val="0"/>
          <c:tx>
            <c:strRef>
              <c:f>'Pivot Report'!$H$3</c:f>
              <c:strCache>
                <c:ptCount val="1"/>
                <c:pt idx="0">
                  <c:v>Total</c:v>
                </c:pt>
              </c:strCache>
            </c:strRef>
          </c:tx>
          <c:spPr>
            <a:solidFill>
              <a:schemeClr val="accent1"/>
            </a:solidFill>
            <a:ln w="25400">
              <a:noFill/>
            </a:ln>
            <a:effectLst/>
          </c:spPr>
          <c:cat>
            <c:strRef>
              <c:f>'Pivot Report'!$G$4:$G$35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Report'!$H$4:$H$35</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2-6C9D-4439-9143-C636F85D6268}"/>
            </c:ext>
          </c:extLst>
        </c:ser>
        <c:dLbls>
          <c:showLegendKey val="0"/>
          <c:showVal val="0"/>
          <c:showCatName val="0"/>
          <c:showSerName val="0"/>
          <c:showPercent val="0"/>
          <c:showBubbleSize val="0"/>
        </c:dLbls>
        <c:axId val="509471519"/>
        <c:axId val="509469119"/>
      </c:areaChart>
      <c:catAx>
        <c:axId val="509471519"/>
        <c:scaling>
          <c:orientation val="minMax"/>
        </c:scaling>
        <c:delete val="1"/>
        <c:axPos val="b"/>
        <c:numFmt formatCode="General" sourceLinked="1"/>
        <c:majorTickMark val="out"/>
        <c:minorTickMark val="none"/>
        <c:tickLblPos val="nextTo"/>
        <c:crossAx val="509469119"/>
        <c:crosses val="autoZero"/>
        <c:auto val="1"/>
        <c:lblAlgn val="ctr"/>
        <c:lblOffset val="100"/>
        <c:noMultiLvlLbl val="0"/>
      </c:catAx>
      <c:valAx>
        <c:axId val="509469119"/>
        <c:scaling>
          <c:orientation val="minMax"/>
        </c:scaling>
        <c:delete val="1"/>
        <c:axPos val="l"/>
        <c:numFmt formatCode="0.00" sourceLinked="1"/>
        <c:majorTickMark val="none"/>
        <c:minorTickMark val="none"/>
        <c:tickLblPos val="nextTo"/>
        <c:crossAx val="509471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Report!PivotTable8</c:name>
    <c:fmtId val="3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4879977435672442E-2"/>
          <c:y val="8.689143755076725E-3"/>
          <c:w val="0.96124801842007113"/>
          <c:h val="0.97568076702698603"/>
        </c:manualLayout>
      </c:layout>
      <c:areaChart>
        <c:grouping val="standard"/>
        <c:varyColors val="0"/>
        <c:ser>
          <c:idx val="0"/>
          <c:order val="0"/>
          <c:tx>
            <c:strRef>
              <c:f>'Pivot Report'!$K$3</c:f>
              <c:strCache>
                <c:ptCount val="1"/>
                <c:pt idx="0">
                  <c:v>Total</c:v>
                </c:pt>
              </c:strCache>
            </c:strRef>
          </c:tx>
          <c:spPr>
            <a:solidFill>
              <a:schemeClr val="accent1"/>
            </a:solidFill>
            <a:ln w="25400">
              <a:noFill/>
            </a:ln>
            <a:effectLst/>
          </c:spPr>
          <c:cat>
            <c:strRef>
              <c:f>'Pivot Report'!$J$4:$J$35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Report'!$K$4:$K$35</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2-292C-4026-BEC4-84347DA69F1D}"/>
            </c:ext>
          </c:extLst>
        </c:ser>
        <c:dLbls>
          <c:showLegendKey val="0"/>
          <c:showVal val="0"/>
          <c:showCatName val="0"/>
          <c:showSerName val="0"/>
          <c:showPercent val="0"/>
          <c:showBubbleSize val="0"/>
        </c:dLbls>
        <c:axId val="1180342400"/>
        <c:axId val="1180347200"/>
      </c:areaChart>
      <c:catAx>
        <c:axId val="1180342400"/>
        <c:scaling>
          <c:orientation val="minMax"/>
        </c:scaling>
        <c:delete val="1"/>
        <c:axPos val="b"/>
        <c:numFmt formatCode="General" sourceLinked="1"/>
        <c:majorTickMark val="out"/>
        <c:minorTickMark val="none"/>
        <c:tickLblPos val="nextTo"/>
        <c:crossAx val="1180347200"/>
        <c:crosses val="autoZero"/>
        <c:auto val="1"/>
        <c:lblAlgn val="ctr"/>
        <c:lblOffset val="100"/>
        <c:noMultiLvlLbl val="0"/>
      </c:catAx>
      <c:valAx>
        <c:axId val="1180347200"/>
        <c:scaling>
          <c:orientation val="minMax"/>
        </c:scaling>
        <c:delete val="1"/>
        <c:axPos val="l"/>
        <c:numFmt formatCode="0.00" sourceLinked="1"/>
        <c:majorTickMark val="none"/>
        <c:minorTickMark val="none"/>
        <c:tickLblPos val="nextTo"/>
        <c:crossAx val="1180342400"/>
        <c:crosses val="autoZero"/>
        <c:crossBetween val="midCat"/>
      </c:valAx>
      <c:spPr>
        <a:noFill/>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3772154197048697E-2"/>
          <c:w val="1"/>
          <c:h val="0.78291249461883705"/>
        </c:manualLayout>
      </c:layout>
      <c:barChart>
        <c:barDir val="col"/>
        <c:grouping val="clustered"/>
        <c:varyColors val="0"/>
        <c:ser>
          <c:idx val="0"/>
          <c:order val="0"/>
          <c:tx>
            <c:strRef>
              <c:f>'Pivot Report'!$C$48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Report'!$B$49:$B$57</c:f>
              <c:strCache>
                <c:ptCount val="8"/>
                <c:pt idx="0">
                  <c:v>0-09</c:v>
                </c:pt>
                <c:pt idx="1">
                  <c:v>10-19</c:v>
                </c:pt>
                <c:pt idx="2">
                  <c:v>20-29</c:v>
                </c:pt>
                <c:pt idx="3">
                  <c:v>30-39</c:v>
                </c:pt>
                <c:pt idx="4">
                  <c:v>40-49</c:v>
                </c:pt>
                <c:pt idx="5">
                  <c:v>50-59</c:v>
                </c:pt>
                <c:pt idx="6">
                  <c:v>60-69</c:v>
                </c:pt>
                <c:pt idx="7">
                  <c:v>70-79</c:v>
                </c:pt>
              </c:strCache>
            </c:strRef>
          </c:cat>
          <c:val>
            <c:numRef>
              <c:f>'Pivot Report'!$C$49:$C$57</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2-ACCC-47AA-8AA7-F174806F1EDD}"/>
            </c:ext>
          </c:extLst>
        </c:ser>
        <c:dLbls>
          <c:showLegendKey val="0"/>
          <c:showVal val="0"/>
          <c:showCatName val="0"/>
          <c:showSerName val="0"/>
          <c:showPercent val="0"/>
          <c:showBubbleSize val="0"/>
        </c:dLbls>
        <c:gapWidth val="219"/>
        <c:overlap val="-27"/>
        <c:axId val="656553776"/>
        <c:axId val="656555216"/>
      </c:barChart>
      <c:catAx>
        <c:axId val="65655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56555216"/>
        <c:crosses val="autoZero"/>
        <c:auto val="1"/>
        <c:lblAlgn val="ctr"/>
        <c:lblOffset val="100"/>
        <c:noMultiLvlLbl val="0"/>
      </c:catAx>
      <c:valAx>
        <c:axId val="656555216"/>
        <c:scaling>
          <c:orientation val="minMax"/>
        </c:scaling>
        <c:delete val="1"/>
        <c:axPos val="l"/>
        <c:numFmt formatCode="0" sourceLinked="1"/>
        <c:majorTickMark val="none"/>
        <c:minorTickMark val="none"/>
        <c:tickLblPos val="nextTo"/>
        <c:crossAx val="656553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Report!PivotTable11</c:name>
    <c:fmtId val="3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913907638129285"/>
          <c:y val="0.12491111797958711"/>
          <c:w val="0.62195061761331805"/>
          <c:h val="0.78748456704111125"/>
        </c:manualLayout>
      </c:layout>
      <c:pieChart>
        <c:varyColors val="1"/>
        <c:ser>
          <c:idx val="0"/>
          <c:order val="0"/>
          <c:tx>
            <c:strRef>
              <c:f>'Pivot Report'!$G$48</c:f>
              <c:strCache>
                <c:ptCount val="1"/>
                <c:pt idx="0">
                  <c:v>Total</c:v>
                </c:pt>
              </c:strCache>
            </c:strRef>
          </c:tx>
          <c:spPr>
            <a:ln>
              <a:no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CF-4CC4-BB52-A530B8AFCE6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CF-4CC4-BB52-A530B8AFCE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Report'!$F$49:$F$51</c:f>
              <c:strCache>
                <c:ptCount val="2"/>
                <c:pt idx="0">
                  <c:v>Delay</c:v>
                </c:pt>
                <c:pt idx="1">
                  <c:v>Ontime</c:v>
                </c:pt>
              </c:strCache>
            </c:strRef>
          </c:cat>
          <c:val>
            <c:numRef>
              <c:f>'Pivot Report'!$G$49:$G$51</c:f>
              <c:numCache>
                <c:formatCode>0</c:formatCode>
                <c:ptCount val="2"/>
                <c:pt idx="0">
                  <c:v>288</c:v>
                </c:pt>
                <c:pt idx="1">
                  <c:v>200</c:v>
                </c:pt>
              </c:numCache>
            </c:numRef>
          </c:val>
          <c:extLst>
            <c:ext xmlns:c16="http://schemas.microsoft.com/office/drawing/2014/chart" uri="{C3380CC4-5D6E-409C-BE32-E72D297353CC}">
              <c16:uniqueId val="{00000006-0D0E-41C0-B4E3-21415EF547E2}"/>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341167662375153"/>
          <c:y val="1.7195017042620293E-2"/>
          <c:w val="0.82835367021523232"/>
          <c:h val="9.63076075106206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Report!PivotTable12</c:name>
    <c:fmtId val="4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1426706185872931"/>
              <c:y val="-0.12911474416686997"/>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11133698501970724"/>
              <c:y val="-4.7821989616902406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706402525750929"/>
                  <c:h val="0.14377904858351537"/>
                </c:manualLayout>
              </c15:layout>
            </c:ext>
          </c:extLst>
        </c:dLbl>
      </c:pivotFmt>
    </c:pivotFmts>
    <c:plotArea>
      <c:layout>
        <c:manualLayout>
          <c:layoutTarget val="inner"/>
          <c:xMode val="edge"/>
          <c:yMode val="edge"/>
          <c:x val="0.1948960177068387"/>
          <c:y val="0.19085186163896481"/>
          <c:w val="0.61205265969145695"/>
          <c:h val="0.73304103934679565"/>
        </c:manualLayout>
      </c:layout>
      <c:doughnutChart>
        <c:varyColors val="1"/>
        <c:ser>
          <c:idx val="0"/>
          <c:order val="0"/>
          <c:tx>
            <c:strRef>
              <c:f>'Pivot Report'!$G$57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07E-4C72-916B-0BBFFF494C3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107E-4C72-916B-0BBFFF494C34}"/>
              </c:ext>
            </c:extLst>
          </c:dPt>
          <c:dLbls>
            <c:dLbl>
              <c:idx val="0"/>
              <c:layout>
                <c:manualLayout>
                  <c:x val="0.1426706185872931"/>
                  <c:y val="-0.12911474416686997"/>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07E-4C72-916B-0BBFFF494C34}"/>
                </c:ext>
              </c:extLst>
            </c:dLbl>
            <c:dLbl>
              <c:idx val="1"/>
              <c:layout>
                <c:manualLayout>
                  <c:x val="-0.11133698501970724"/>
                  <c:y val="-4.7821989616902406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706402525750929"/>
                      <c:h val="0.14377904858351537"/>
                    </c:manualLayout>
                  </c15:layout>
                </c:ext>
                <c:ext xmlns:c16="http://schemas.microsoft.com/office/drawing/2014/chart" uri="{C3380CC4-5D6E-409C-BE32-E72D297353CC}">
                  <c16:uniqueId val="{00000008-107E-4C72-916B-0BBFFF494C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Report'!$F$58:$F$60</c:f>
              <c:strCache>
                <c:ptCount val="2"/>
                <c:pt idx="0">
                  <c:v>Female</c:v>
                </c:pt>
                <c:pt idx="1">
                  <c:v>Male</c:v>
                </c:pt>
              </c:strCache>
            </c:strRef>
          </c:cat>
          <c:val>
            <c:numRef>
              <c:f>'Pivot Report'!$G$58:$G$60</c:f>
              <c:numCache>
                <c:formatCode>0</c:formatCode>
                <c:ptCount val="2"/>
                <c:pt idx="0">
                  <c:v>232</c:v>
                </c:pt>
                <c:pt idx="1">
                  <c:v>256</c:v>
                </c:pt>
              </c:numCache>
            </c:numRef>
          </c:val>
          <c:extLst>
            <c:ext xmlns:c16="http://schemas.microsoft.com/office/drawing/2014/chart" uri="{C3380CC4-5D6E-409C-BE32-E72D297353CC}">
              <c16:uniqueId val="{00000006-107E-4C72-916B-0BBFFF494C34}"/>
            </c:ext>
          </c:extLst>
        </c:ser>
        <c:dLbls>
          <c:showLegendKey val="0"/>
          <c:showVal val="0"/>
          <c:showCatName val="0"/>
          <c:showSerName val="0"/>
          <c:showPercent val="1"/>
          <c:showBubbleSize val="0"/>
          <c:showLeaderLines val="1"/>
        </c:dLbls>
        <c:firstSliceAng val="16"/>
        <c:holeSize val="70"/>
      </c:doughnutChart>
      <c:spPr>
        <a:noFill/>
        <a:ln>
          <a:noFill/>
        </a:ln>
        <a:effectLst>
          <a:softEdge rad="0"/>
        </a:effectLst>
      </c:spPr>
    </c:plotArea>
    <c:legend>
      <c:legendPos val="r"/>
      <c:layout>
        <c:manualLayout>
          <c:xMode val="edge"/>
          <c:yMode val="edge"/>
          <c:x val="0"/>
          <c:y val="2.6084312587325915E-2"/>
          <c:w val="0.97600290459183847"/>
          <c:h val="0.1763241815106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Report!PivotTable13</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26421968610551"/>
          <c:y val="1.5042883191139726E-3"/>
          <c:w val="0.75073587423351384"/>
          <c:h val="0.91987652792472352"/>
        </c:manualLayout>
      </c:layout>
      <c:barChart>
        <c:barDir val="bar"/>
        <c:grouping val="clustered"/>
        <c:varyColors val="0"/>
        <c:ser>
          <c:idx val="0"/>
          <c:order val="0"/>
          <c:tx>
            <c:strRef>
              <c:f>'Pivot Report'!$C$63</c:f>
              <c:strCache>
                <c:ptCount val="1"/>
                <c:pt idx="0">
                  <c:v>Total</c:v>
                </c:pt>
              </c:strCache>
            </c:strRef>
          </c:tx>
          <c:spPr>
            <a:solidFill>
              <a:schemeClr val="accent1"/>
            </a:solidFill>
            <a:ln>
              <a:noFill/>
            </a:ln>
            <a:effectLst/>
          </c:spPr>
          <c:invertIfNegative val="0"/>
          <c:cat>
            <c:strRef>
              <c:f>'Pivot Report'!$B$64:$B$72</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Report'!$C$64:$C$72</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2-0A9E-4D5D-9BE2-01497CA24E5B}"/>
            </c:ext>
          </c:extLst>
        </c:ser>
        <c:dLbls>
          <c:showLegendKey val="0"/>
          <c:showVal val="0"/>
          <c:showCatName val="0"/>
          <c:showSerName val="0"/>
          <c:showPercent val="0"/>
          <c:showBubbleSize val="0"/>
        </c:dLbls>
        <c:gapWidth val="99"/>
        <c:axId val="1006172352"/>
        <c:axId val="1006176192"/>
      </c:barChart>
      <c:catAx>
        <c:axId val="100617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006176192"/>
        <c:crosses val="autoZero"/>
        <c:auto val="1"/>
        <c:lblAlgn val="ctr"/>
        <c:lblOffset val="100"/>
        <c:noMultiLvlLbl val="0"/>
      </c:catAx>
      <c:valAx>
        <c:axId val="1006176192"/>
        <c:scaling>
          <c:orientation val="minMax"/>
        </c:scaling>
        <c:delete val="1"/>
        <c:axPos val="b"/>
        <c:numFmt formatCode="0" sourceLinked="1"/>
        <c:majorTickMark val="none"/>
        <c:minorTickMark val="none"/>
        <c:tickLblPos val="nextTo"/>
        <c:crossAx val="100617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702619826457336E-2"/>
          <c:y val="0.10703830130440387"/>
          <c:w val="0.89764994641961737"/>
          <c:h val="0.71502325133583255"/>
        </c:manualLayout>
      </c:layout>
      <c:areaChart>
        <c:grouping val="stacked"/>
        <c:varyColors val="0"/>
        <c:ser>
          <c:idx val="0"/>
          <c:order val="0"/>
          <c:tx>
            <c:strRef>
              <c:f>'Pivot Report'!$E$3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Report'!$E$4:$E$35</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1-2970-4904-9F46-72FDD77C23B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068109071"/>
        <c:axId val="2068108591"/>
      </c:areaChart>
      <c:catAx>
        <c:axId val="206810907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crossAx val="2068108591"/>
        <c:crosses val="autoZero"/>
        <c:auto val="1"/>
        <c:lblAlgn val="ctr"/>
        <c:lblOffset val="100"/>
        <c:noMultiLvlLbl val="0"/>
      </c:catAx>
      <c:valAx>
        <c:axId val="20681085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n-US"/>
          </a:p>
        </c:txPr>
        <c:crossAx val="2068109071"/>
        <c:crosses val="autoZero"/>
        <c:crossBetween val="midCat"/>
      </c:valAx>
      <c:spPr>
        <a:noFill/>
        <a:ln>
          <a:noFill/>
        </a:ln>
        <a:effectLst/>
      </c:spPr>
    </c:plotArea>
    <c:plotVisOnly val="1"/>
    <c:dispBlanksAs val="zero"/>
    <c:showDLblsOverMax val="0"/>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Report!PivotTable7</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786290724814885E-2"/>
          <c:y val="4.1892933870422776E-2"/>
          <c:w val="0.93877862578737648"/>
          <c:h val="0.80163426330967891"/>
        </c:manualLayout>
      </c:layout>
      <c:areaChart>
        <c:grouping val="standard"/>
        <c:varyColors val="0"/>
        <c:ser>
          <c:idx val="0"/>
          <c:order val="0"/>
          <c:tx>
            <c:strRef>
              <c:f>'Pivot Report'!$H$3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Report'!$G$4:$G$35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Report'!$H$4:$H$35</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1-CE0C-4117-B8A2-EA0D750867BC}"/>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509471519"/>
        <c:axId val="509469119"/>
      </c:areaChart>
      <c:catAx>
        <c:axId val="50947151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crossAx val="509469119"/>
        <c:crosses val="autoZero"/>
        <c:auto val="1"/>
        <c:lblAlgn val="ctr"/>
        <c:lblOffset val="100"/>
        <c:noMultiLvlLbl val="0"/>
      </c:catAx>
      <c:valAx>
        <c:axId val="50946911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509471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[file1.xlsx]Pivot Report!PivotTable8</c:name>
    <c:fmtId val="29"/>
  </c:pivotSource>
  <c:chart>
    <c:autoTitleDeleted val="1"/>
    <c:pivotFmts>
      <c:pivotFmt>
        <c:idx val="0"/>
      </c:pivotFmt>
      <c:pivotFmt>
        <c:idx val="1"/>
      </c:pivotFmt>
      <c:pivotFmt>
        <c:idx val="2"/>
      </c:pivotFmt>
      <c:pivotFmt>
        <c:idx val="3"/>
      </c:pivotFmt>
      <c:pivotFmt>
        <c:idx val="4"/>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033828224120904E-2"/>
          <c:y val="4.3410763081927532E-2"/>
          <c:w val="0.91505037165440783"/>
          <c:h val="0.83066626583571324"/>
        </c:manualLayout>
      </c:layout>
      <c:areaChart>
        <c:grouping val="standard"/>
        <c:varyColors val="0"/>
        <c:ser>
          <c:idx val="0"/>
          <c:order val="0"/>
          <c:tx>
            <c:strRef>
              <c:f>'Pivot Report'!$K$3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Report'!$J$4:$J$35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Report'!$K$4:$K$35</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1-4360-4490-92CB-F93DFAD183F0}"/>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180342400"/>
        <c:axId val="1180347200"/>
      </c:areaChart>
      <c:catAx>
        <c:axId val="118034240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crossAx val="1180347200"/>
        <c:crosses val="autoZero"/>
        <c:auto val="1"/>
        <c:lblAlgn val="ctr"/>
        <c:lblOffset val="100"/>
        <c:noMultiLvlLbl val="0"/>
      </c:catAx>
      <c:valAx>
        <c:axId val="11803472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75000"/>
                  </a:schemeClr>
                </a:solidFill>
                <a:latin typeface="+mn-lt"/>
                <a:ea typeface="+mn-ea"/>
                <a:cs typeface="+mn-cs"/>
              </a:defRPr>
            </a:pPr>
            <a:endParaRPr lang="en-US"/>
          </a:p>
        </c:txPr>
        <c:crossAx val="1180342400"/>
        <c:crosses val="autoZero"/>
        <c:crossBetween val="midCat"/>
      </c:valAx>
      <c:spPr>
        <a:noFill/>
        <a:ln>
          <a:noFill/>
        </a:ln>
        <a:effectLst/>
      </c:spPr>
    </c:plotArea>
    <c:plotVisOnly val="1"/>
    <c:dispBlanksAs val="zero"/>
    <c:showDLblsOverMax val="0"/>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emf"/><Relationship Id="rId3" Type="http://schemas.openxmlformats.org/officeDocument/2006/relationships/image" Target="../media/image3.png"/><Relationship Id="rId7" Type="http://schemas.openxmlformats.org/officeDocument/2006/relationships/hyperlink" Target="#'Daily ER No of Patient'!A1"/><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Satisfaction Score daily trend'!A1"/><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hyperlink" Target="#'Average with time daily trend'!A1"/><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9.png"/><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524233</xdr:colOff>
      <xdr:row>11</xdr:row>
      <xdr:rowOff>59871</xdr:rowOff>
    </xdr:from>
    <xdr:to>
      <xdr:col>2</xdr:col>
      <xdr:colOff>388947</xdr:colOff>
      <xdr:row>24</xdr:row>
      <xdr:rowOff>108029</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0D4D7495-A5F4-BBD5-1421-B65243049B0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24233" y="2095500"/>
              <a:ext cx="1527862" cy="245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39187</xdr:colOff>
      <xdr:row>42</xdr:row>
      <xdr:rowOff>152399</xdr:rowOff>
    </xdr:from>
    <xdr:to>
      <xdr:col>4</xdr:col>
      <xdr:colOff>1214845</xdr:colOff>
      <xdr:row>44</xdr:row>
      <xdr:rowOff>170008</xdr:rowOff>
    </xdr:to>
    <xdr:graphicFrame macro="">
      <xdr:nvGraphicFramePr>
        <xdr:cNvPr id="6" name="Chart 5">
          <a:extLst>
            <a:ext uri="{FF2B5EF4-FFF2-40B4-BE49-F238E27FC236}">
              <a16:creationId xmlns:a16="http://schemas.microsoft.com/office/drawing/2014/main" id="{E6CC7320-CED0-1479-FC04-D887ED81D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662353</xdr:colOff>
      <xdr:row>62</xdr:row>
      <xdr:rowOff>135403</xdr:rowOff>
    </xdr:from>
    <xdr:to>
      <xdr:col>6</xdr:col>
      <xdr:colOff>1623646</xdr:colOff>
      <xdr:row>69</xdr:row>
      <xdr:rowOff>76201</xdr:rowOff>
    </xdr:to>
    <mc:AlternateContent xmlns:mc="http://schemas.openxmlformats.org/markup-compatibility/2006">
      <mc:Choice xmlns:a14="http://schemas.microsoft.com/office/drawing/2010/main" Requires="a14">
        <xdr:graphicFrame macro="">
          <xdr:nvGraphicFramePr>
            <xdr:cNvPr id="10" name="Date (Year)">
              <a:extLst>
                <a:ext uri="{FF2B5EF4-FFF2-40B4-BE49-F238E27FC236}">
                  <a16:creationId xmlns:a16="http://schemas.microsoft.com/office/drawing/2014/main" id="{A89A461D-AE2A-D71E-664B-1F4FEB66B27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797061" y="11448172"/>
              <a:ext cx="1828800" cy="1212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31531</xdr:colOff>
      <xdr:row>3</xdr:row>
      <xdr:rowOff>10511</xdr:rowOff>
    </xdr:from>
    <xdr:to>
      <xdr:col>1</xdr:col>
      <xdr:colOff>327816</xdr:colOff>
      <xdr:row>16</xdr:row>
      <xdr:rowOff>120869</xdr:rowOff>
    </xdr:to>
    <xdr:sp macro="" textlink="">
      <xdr:nvSpPr>
        <xdr:cNvPr id="3" name="Rectangle: Rounded Corners 2">
          <a:extLst>
            <a:ext uri="{FF2B5EF4-FFF2-40B4-BE49-F238E27FC236}">
              <a16:creationId xmlns:a16="http://schemas.microsoft.com/office/drawing/2014/main" id="{DBAC268C-B21F-4FB9-8AE9-D0779BF021EC}"/>
            </a:ext>
          </a:extLst>
        </xdr:cNvPr>
        <xdr:cNvSpPr/>
      </xdr:nvSpPr>
      <xdr:spPr>
        <a:xfrm>
          <a:off x="31531" y="562304"/>
          <a:ext cx="905885" cy="2501462"/>
        </a:xfrm>
        <a:prstGeom prst="roundRect">
          <a:avLst>
            <a:gd name="adj" fmla="val 77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25867</xdr:colOff>
      <xdr:row>10</xdr:row>
      <xdr:rowOff>752</xdr:rowOff>
    </xdr:from>
    <xdr:to>
      <xdr:col>9</xdr:col>
      <xdr:colOff>373267</xdr:colOff>
      <xdr:row>16</xdr:row>
      <xdr:rowOff>97536</xdr:rowOff>
    </xdr:to>
    <xdr:sp macro="" textlink="">
      <xdr:nvSpPr>
        <xdr:cNvPr id="4" name="Rectangle: Rounded Corners 3">
          <a:extLst>
            <a:ext uri="{FF2B5EF4-FFF2-40B4-BE49-F238E27FC236}">
              <a16:creationId xmlns:a16="http://schemas.microsoft.com/office/drawing/2014/main" id="{E05A7D98-6570-4E0F-AC54-4DB14FB3DC42}"/>
            </a:ext>
          </a:extLst>
        </xdr:cNvPr>
        <xdr:cNvSpPr/>
      </xdr:nvSpPr>
      <xdr:spPr>
        <a:xfrm>
          <a:off x="4941856" y="1829552"/>
          <a:ext cx="1514348" cy="1194064"/>
        </a:xfrm>
        <a:prstGeom prst="roundRect">
          <a:avLst>
            <a:gd name="adj" fmla="val 51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8708</xdr:colOff>
      <xdr:row>0</xdr:row>
      <xdr:rowOff>8710</xdr:rowOff>
    </xdr:from>
    <xdr:to>
      <xdr:col>12</xdr:col>
      <xdr:colOff>25978</xdr:colOff>
      <xdr:row>9</xdr:row>
      <xdr:rowOff>169818</xdr:rowOff>
    </xdr:to>
    <xdr:sp macro="" textlink="">
      <xdr:nvSpPr>
        <xdr:cNvPr id="11" name="Rectangle: Rounded Corners 10">
          <a:extLst>
            <a:ext uri="{FF2B5EF4-FFF2-40B4-BE49-F238E27FC236}">
              <a16:creationId xmlns:a16="http://schemas.microsoft.com/office/drawing/2014/main" id="{FB1793C6-68C2-4495-8FB8-D0CEB5044003}"/>
            </a:ext>
          </a:extLst>
        </xdr:cNvPr>
        <xdr:cNvSpPr/>
      </xdr:nvSpPr>
      <xdr:spPr>
        <a:xfrm>
          <a:off x="4924697" y="8710"/>
          <a:ext cx="3013018" cy="1807028"/>
        </a:xfrm>
        <a:prstGeom prst="roundRect">
          <a:avLst>
            <a:gd name="adj" fmla="val 282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26126</xdr:colOff>
      <xdr:row>0</xdr:row>
      <xdr:rowOff>17417</xdr:rowOff>
    </xdr:from>
    <xdr:to>
      <xdr:col>4</xdr:col>
      <xdr:colOff>445945</xdr:colOff>
      <xdr:row>3</xdr:row>
      <xdr:rowOff>1450</xdr:rowOff>
    </xdr:to>
    <xdr:sp macro="" textlink="">
      <xdr:nvSpPr>
        <xdr:cNvPr id="17" name="Rectangle: Rounded Corners 16">
          <a:extLst>
            <a:ext uri="{FF2B5EF4-FFF2-40B4-BE49-F238E27FC236}">
              <a16:creationId xmlns:a16="http://schemas.microsoft.com/office/drawing/2014/main" id="{2C650DB7-D4DC-44E7-8BED-FABFD6D2DC5F}"/>
            </a:ext>
          </a:extLst>
        </xdr:cNvPr>
        <xdr:cNvSpPr/>
      </xdr:nvSpPr>
      <xdr:spPr>
        <a:xfrm>
          <a:off x="26126" y="17417"/>
          <a:ext cx="3315419" cy="532673"/>
        </a:xfrm>
        <a:prstGeom prst="roundRect">
          <a:avLst>
            <a:gd name="adj" fmla="val 91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463261</xdr:colOff>
      <xdr:row>0</xdr:row>
      <xdr:rowOff>13063</xdr:rowOff>
    </xdr:from>
    <xdr:to>
      <xdr:col>6</xdr:col>
      <xdr:colOff>648788</xdr:colOff>
      <xdr:row>2</xdr:row>
      <xdr:rowOff>177535</xdr:rowOff>
    </xdr:to>
    <xdr:sp macro="" textlink="">
      <xdr:nvSpPr>
        <xdr:cNvPr id="19" name="Rectangle: Rounded Corners 18">
          <a:extLst>
            <a:ext uri="{FF2B5EF4-FFF2-40B4-BE49-F238E27FC236}">
              <a16:creationId xmlns:a16="http://schemas.microsoft.com/office/drawing/2014/main" id="{47B8B655-A60F-4E63-AE06-E7813BFBA338}"/>
            </a:ext>
          </a:extLst>
        </xdr:cNvPr>
        <xdr:cNvSpPr/>
      </xdr:nvSpPr>
      <xdr:spPr>
        <a:xfrm>
          <a:off x="3358861" y="13063"/>
          <a:ext cx="1544064" cy="530232"/>
        </a:xfrm>
        <a:prstGeom prst="roundRect">
          <a:avLst>
            <a:gd name="adj" fmla="val 91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editAs="absolute">
    <xdr:from>
      <xdr:col>1</xdr:col>
      <xdr:colOff>346841</xdr:colOff>
      <xdr:row>3</xdr:row>
      <xdr:rowOff>7742</xdr:rowOff>
    </xdr:from>
    <xdr:to>
      <xdr:col>6</xdr:col>
      <xdr:colOff>644434</xdr:colOff>
      <xdr:row>9</xdr:row>
      <xdr:rowOff>51285</xdr:rowOff>
    </xdr:to>
    <xdr:sp macro="" textlink="">
      <xdr:nvSpPr>
        <xdr:cNvPr id="20" name="Rectangle: Rounded Corners 19">
          <a:extLst>
            <a:ext uri="{FF2B5EF4-FFF2-40B4-BE49-F238E27FC236}">
              <a16:creationId xmlns:a16="http://schemas.microsoft.com/office/drawing/2014/main" id="{EBFEBD0A-456E-4709-9F0A-7D381E5F4526}"/>
            </a:ext>
          </a:extLst>
        </xdr:cNvPr>
        <xdr:cNvSpPr/>
      </xdr:nvSpPr>
      <xdr:spPr>
        <a:xfrm>
          <a:off x="956441" y="559535"/>
          <a:ext cx="3939427" cy="1147129"/>
        </a:xfrm>
        <a:prstGeom prst="roundRect">
          <a:avLst>
            <a:gd name="adj" fmla="val 60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34636</xdr:colOff>
      <xdr:row>9</xdr:row>
      <xdr:rowOff>65314</xdr:rowOff>
    </xdr:from>
    <xdr:to>
      <xdr:col>6</xdr:col>
      <xdr:colOff>649431</xdr:colOff>
      <xdr:row>13</xdr:row>
      <xdr:rowOff>126437</xdr:rowOff>
    </xdr:to>
    <xdr:sp macro="" textlink="">
      <xdr:nvSpPr>
        <xdr:cNvPr id="23" name="Rectangle: Rounded Corners 22">
          <a:extLst>
            <a:ext uri="{FF2B5EF4-FFF2-40B4-BE49-F238E27FC236}">
              <a16:creationId xmlns:a16="http://schemas.microsoft.com/office/drawing/2014/main" id="{05C91745-C3BE-478B-84BB-5ADF98E97AA8}"/>
            </a:ext>
          </a:extLst>
        </xdr:cNvPr>
        <xdr:cNvSpPr/>
      </xdr:nvSpPr>
      <xdr:spPr>
        <a:xfrm>
          <a:off x="3539836" y="1711234"/>
          <a:ext cx="1361555" cy="792643"/>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393988</xdr:colOff>
      <xdr:row>9</xdr:row>
      <xdr:rowOff>74024</xdr:rowOff>
    </xdr:from>
    <xdr:to>
      <xdr:col>5</xdr:col>
      <xdr:colOff>8660</xdr:colOff>
      <xdr:row>13</xdr:row>
      <xdr:rowOff>123588</xdr:rowOff>
    </xdr:to>
    <xdr:sp macro="" textlink="">
      <xdr:nvSpPr>
        <xdr:cNvPr id="24" name="Rectangle: Rounded Corners 23">
          <a:extLst>
            <a:ext uri="{FF2B5EF4-FFF2-40B4-BE49-F238E27FC236}">
              <a16:creationId xmlns:a16="http://schemas.microsoft.com/office/drawing/2014/main" id="{30A65BC8-9F40-47C6-A173-7B79202A9F17}"/>
            </a:ext>
          </a:extLst>
        </xdr:cNvPr>
        <xdr:cNvSpPr/>
      </xdr:nvSpPr>
      <xdr:spPr>
        <a:xfrm>
          <a:off x="2222788" y="1719944"/>
          <a:ext cx="1291072" cy="781084"/>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355023</xdr:colOff>
      <xdr:row>9</xdr:row>
      <xdr:rowOff>69669</xdr:rowOff>
    </xdr:from>
    <xdr:to>
      <xdr:col>3</xdr:col>
      <xdr:colOff>368011</xdr:colOff>
      <xdr:row>13</xdr:row>
      <xdr:rowOff>119243</xdr:rowOff>
    </xdr:to>
    <xdr:sp macro="" textlink="">
      <xdr:nvSpPr>
        <xdr:cNvPr id="25" name="Rectangle: Rounded Corners 24">
          <a:extLst>
            <a:ext uri="{FF2B5EF4-FFF2-40B4-BE49-F238E27FC236}">
              <a16:creationId xmlns:a16="http://schemas.microsoft.com/office/drawing/2014/main" id="{D4CA5CFA-39A4-4BF7-8426-EDCE703B87CF}"/>
            </a:ext>
          </a:extLst>
        </xdr:cNvPr>
        <xdr:cNvSpPr/>
      </xdr:nvSpPr>
      <xdr:spPr>
        <a:xfrm>
          <a:off x="964623" y="1715589"/>
          <a:ext cx="1232188" cy="781094"/>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398318</xdr:colOff>
      <xdr:row>10</xdr:row>
      <xdr:rowOff>4012</xdr:rowOff>
    </xdr:from>
    <xdr:to>
      <xdr:col>12</xdr:col>
      <xdr:colOff>12988</xdr:colOff>
      <xdr:row>16</xdr:row>
      <xdr:rowOff>97537</xdr:rowOff>
    </xdr:to>
    <xdr:sp macro="" textlink="">
      <xdr:nvSpPr>
        <xdr:cNvPr id="26" name="Rectangle: Rounded Corners 25">
          <a:extLst>
            <a:ext uri="{FF2B5EF4-FFF2-40B4-BE49-F238E27FC236}">
              <a16:creationId xmlns:a16="http://schemas.microsoft.com/office/drawing/2014/main" id="{6FAFC420-4871-46B0-8BEB-10B1630DCEC4}"/>
            </a:ext>
          </a:extLst>
        </xdr:cNvPr>
        <xdr:cNvSpPr/>
      </xdr:nvSpPr>
      <xdr:spPr>
        <a:xfrm>
          <a:off x="6478276" y="1848854"/>
          <a:ext cx="1443470" cy="1200430"/>
        </a:xfrm>
        <a:prstGeom prst="roundRect">
          <a:avLst>
            <a:gd name="adj" fmla="val 51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220264</xdr:colOff>
      <xdr:row>0</xdr:row>
      <xdr:rowOff>107625</xdr:rowOff>
    </xdr:from>
    <xdr:to>
      <xdr:col>4</xdr:col>
      <xdr:colOff>224619</xdr:colOff>
      <xdr:row>1</xdr:row>
      <xdr:rowOff>129397</xdr:rowOff>
    </xdr:to>
    <xdr:sp macro="" textlink="">
      <xdr:nvSpPr>
        <xdr:cNvPr id="27" name="TextBox 26">
          <a:extLst>
            <a:ext uri="{FF2B5EF4-FFF2-40B4-BE49-F238E27FC236}">
              <a16:creationId xmlns:a16="http://schemas.microsoft.com/office/drawing/2014/main" id="{C6C4F7E3-42E7-EA73-89C7-32F10CE6A58B}"/>
            </a:ext>
          </a:extLst>
        </xdr:cNvPr>
        <xdr:cNvSpPr txBox="1"/>
      </xdr:nvSpPr>
      <xdr:spPr>
        <a:xfrm>
          <a:off x="830730" y="107625"/>
          <a:ext cx="2290355" cy="203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rgbClr val="FF0000"/>
              </a:solidFill>
            </a:rPr>
            <a:t>Hospital</a:t>
          </a:r>
          <a:r>
            <a:rPr lang="en-IN" sz="1100" b="1" baseline="0">
              <a:solidFill>
                <a:srgbClr val="FF0000"/>
              </a:solidFill>
            </a:rPr>
            <a:t> Emergency Room </a:t>
          </a:r>
          <a:r>
            <a:rPr lang="en-IN" sz="1200" b="1" baseline="0">
              <a:solidFill>
                <a:srgbClr val="FF0000"/>
              </a:solidFill>
            </a:rPr>
            <a:t>Dashboard</a:t>
          </a:r>
          <a:endParaRPr lang="en-IN" sz="1100" b="1">
            <a:solidFill>
              <a:srgbClr val="FF0000"/>
            </a:solidFill>
          </a:endParaRPr>
        </a:p>
      </xdr:txBody>
    </xdr:sp>
    <xdr:clientData/>
  </xdr:twoCellAnchor>
  <xdr:twoCellAnchor editAs="absolute">
    <xdr:from>
      <xdr:col>2</xdr:col>
      <xdr:colOff>326375</xdr:colOff>
      <xdr:row>1</xdr:row>
      <xdr:rowOff>120062</xdr:rowOff>
    </xdr:from>
    <xdr:to>
      <xdr:col>3</xdr:col>
      <xdr:colOff>513806</xdr:colOff>
      <xdr:row>2</xdr:row>
      <xdr:rowOff>87085</xdr:rowOff>
    </xdr:to>
    <xdr:sp macro="" textlink="">
      <xdr:nvSpPr>
        <xdr:cNvPr id="30" name="TextBox 29">
          <a:extLst>
            <a:ext uri="{FF2B5EF4-FFF2-40B4-BE49-F238E27FC236}">
              <a16:creationId xmlns:a16="http://schemas.microsoft.com/office/drawing/2014/main" id="{5178859C-B303-499B-9017-A5341810B033}"/>
            </a:ext>
          </a:extLst>
        </xdr:cNvPr>
        <xdr:cNvSpPr txBox="1"/>
      </xdr:nvSpPr>
      <xdr:spPr>
        <a:xfrm>
          <a:off x="1545575" y="302942"/>
          <a:ext cx="797031" cy="149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solidFill>
                <a:srgbClr val="FF0000"/>
              </a:solidFill>
            </a:rPr>
            <a:t>Monthly</a:t>
          </a:r>
          <a:r>
            <a:rPr lang="en-IN" sz="900" b="1" baseline="0">
              <a:solidFill>
                <a:srgbClr val="FF0000"/>
              </a:solidFill>
            </a:rPr>
            <a:t> Report</a:t>
          </a:r>
          <a:endParaRPr lang="en-IN" sz="900" b="1">
            <a:solidFill>
              <a:srgbClr val="FF0000"/>
            </a:solidFill>
          </a:endParaRPr>
        </a:p>
      </xdr:txBody>
    </xdr:sp>
    <xdr:clientData/>
  </xdr:twoCellAnchor>
  <xdr:twoCellAnchor editAs="absolute">
    <xdr:from>
      <xdr:col>1</xdr:col>
      <xdr:colOff>443209</xdr:colOff>
      <xdr:row>10</xdr:row>
      <xdr:rowOff>181923</xdr:rowOff>
    </xdr:from>
    <xdr:to>
      <xdr:col>3</xdr:col>
      <xdr:colOff>255109</xdr:colOff>
      <xdr:row>12</xdr:row>
      <xdr:rowOff>20666</xdr:rowOff>
    </xdr:to>
    <xdr:sp macro="" textlink="">
      <xdr:nvSpPr>
        <xdr:cNvPr id="32" name="TextBox 31">
          <a:extLst>
            <a:ext uri="{FF2B5EF4-FFF2-40B4-BE49-F238E27FC236}">
              <a16:creationId xmlns:a16="http://schemas.microsoft.com/office/drawing/2014/main" id="{53F5DA1A-7A56-478F-8090-2A37523FDFC9}"/>
            </a:ext>
          </a:extLst>
        </xdr:cNvPr>
        <xdr:cNvSpPr txBox="1"/>
      </xdr:nvSpPr>
      <xdr:spPr>
        <a:xfrm>
          <a:off x="1052809" y="2010723"/>
          <a:ext cx="1031100" cy="204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solidFill>
                <a:srgbClr val="FF0000"/>
              </a:solidFill>
            </a:rPr>
            <a:t>No. Of Patient</a:t>
          </a:r>
        </a:p>
      </xdr:txBody>
    </xdr:sp>
    <xdr:clientData/>
  </xdr:twoCellAnchor>
  <xdr:twoCellAnchor editAs="absolute">
    <xdr:from>
      <xdr:col>1</xdr:col>
      <xdr:colOff>421008</xdr:colOff>
      <xdr:row>9</xdr:row>
      <xdr:rowOff>179391</xdr:rowOff>
    </xdr:from>
    <xdr:to>
      <xdr:col>3</xdr:col>
      <xdr:colOff>206782</xdr:colOff>
      <xdr:row>11</xdr:row>
      <xdr:rowOff>18134</xdr:rowOff>
    </xdr:to>
    <xdr:sp macro="" textlink="'Pivot Report'!B4">
      <xdr:nvSpPr>
        <xdr:cNvPr id="34" name="TextBox 33">
          <a:extLst>
            <a:ext uri="{FF2B5EF4-FFF2-40B4-BE49-F238E27FC236}">
              <a16:creationId xmlns:a16="http://schemas.microsoft.com/office/drawing/2014/main" id="{FB9E8D02-D2CF-4806-A729-6C2B2B6302C0}"/>
            </a:ext>
          </a:extLst>
        </xdr:cNvPr>
        <xdr:cNvSpPr txBox="1"/>
      </xdr:nvSpPr>
      <xdr:spPr>
        <a:xfrm>
          <a:off x="1030608" y="1825311"/>
          <a:ext cx="1004974" cy="204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D94247A-0552-433D-9FFA-C4BC7AD1F9EF}" type="TxLink">
            <a:rPr lang="en-US" sz="1100" b="0" i="0" u="none" strike="noStrike">
              <a:solidFill>
                <a:srgbClr val="000000"/>
              </a:solidFill>
              <a:latin typeface="Calibri"/>
              <a:ea typeface="Calibri"/>
              <a:cs typeface="Calibri"/>
            </a:rPr>
            <a:pPr algn="ctr"/>
            <a:t>488</a:t>
          </a:fld>
          <a:endParaRPr lang="en-IN" sz="1100" b="1"/>
        </a:p>
      </xdr:txBody>
    </xdr:sp>
    <xdr:clientData/>
  </xdr:twoCellAnchor>
  <xdr:twoCellAnchor editAs="absolute">
    <xdr:from>
      <xdr:col>3</xdr:col>
      <xdr:colOff>509871</xdr:colOff>
      <xdr:row>11</xdr:row>
      <xdr:rowOff>2937</xdr:rowOff>
    </xdr:from>
    <xdr:to>
      <xdr:col>4</xdr:col>
      <xdr:colOff>477635</xdr:colOff>
      <xdr:row>12</xdr:row>
      <xdr:rowOff>24560</xdr:rowOff>
    </xdr:to>
    <xdr:sp macro="" textlink="">
      <xdr:nvSpPr>
        <xdr:cNvPr id="35" name="TextBox 34">
          <a:extLst>
            <a:ext uri="{FF2B5EF4-FFF2-40B4-BE49-F238E27FC236}">
              <a16:creationId xmlns:a16="http://schemas.microsoft.com/office/drawing/2014/main" id="{A71095FB-139E-8B0C-9FF4-2B42ADEC5129}"/>
            </a:ext>
          </a:extLst>
        </xdr:cNvPr>
        <xdr:cNvSpPr txBox="1"/>
      </xdr:nvSpPr>
      <xdr:spPr>
        <a:xfrm>
          <a:off x="2341269" y="2003187"/>
          <a:ext cx="1032832" cy="2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solidFill>
                <a:srgbClr val="FF0000"/>
              </a:solidFill>
            </a:rPr>
            <a:t>Average Waittime</a:t>
          </a:r>
        </a:p>
      </xdr:txBody>
    </xdr:sp>
    <xdr:clientData/>
  </xdr:twoCellAnchor>
  <xdr:twoCellAnchor editAs="absolute">
    <xdr:from>
      <xdr:col>3</xdr:col>
      <xdr:colOff>505647</xdr:colOff>
      <xdr:row>10</xdr:row>
      <xdr:rowOff>7056</xdr:rowOff>
    </xdr:from>
    <xdr:to>
      <xdr:col>4</xdr:col>
      <xdr:colOff>447285</xdr:colOff>
      <xdr:row>11</xdr:row>
      <xdr:rowOff>28679</xdr:rowOff>
    </xdr:to>
    <xdr:sp macro="" textlink="'Pivot Report'!B7">
      <xdr:nvSpPr>
        <xdr:cNvPr id="36" name="TextBox 35">
          <a:extLst>
            <a:ext uri="{FF2B5EF4-FFF2-40B4-BE49-F238E27FC236}">
              <a16:creationId xmlns:a16="http://schemas.microsoft.com/office/drawing/2014/main" id="{237BCC0D-F12C-0002-90CA-CD3C7D1007F2}"/>
            </a:ext>
          </a:extLst>
        </xdr:cNvPr>
        <xdr:cNvSpPr txBox="1"/>
      </xdr:nvSpPr>
      <xdr:spPr>
        <a:xfrm>
          <a:off x="2334447" y="1847358"/>
          <a:ext cx="1008438" cy="205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4A58B59-4216-4BD4-96D7-AD9E6074ECC8}" type="TxLink">
            <a:rPr lang="en-US" sz="1100" b="0" i="0" u="none" strike="noStrike">
              <a:solidFill>
                <a:srgbClr val="000000"/>
              </a:solidFill>
              <a:latin typeface="Calibri"/>
              <a:ea typeface="Calibri"/>
              <a:cs typeface="Calibri"/>
            </a:rPr>
            <a:pPr algn="ctr"/>
            <a:t>35.20</a:t>
          </a:fld>
          <a:endParaRPr lang="en-IN" sz="1100" b="1"/>
        </a:p>
      </xdr:txBody>
    </xdr:sp>
    <xdr:clientData/>
  </xdr:twoCellAnchor>
  <xdr:twoCellAnchor editAs="absolute">
    <xdr:from>
      <xdr:col>4</xdr:col>
      <xdr:colOff>554182</xdr:colOff>
      <xdr:row>10</xdr:row>
      <xdr:rowOff>8207</xdr:rowOff>
    </xdr:from>
    <xdr:to>
      <xdr:col>6</xdr:col>
      <xdr:colOff>623454</xdr:colOff>
      <xdr:row>11</xdr:row>
      <xdr:rowOff>30869</xdr:rowOff>
    </xdr:to>
    <xdr:sp macro="" textlink="'Pivot Report'!B11">
      <xdr:nvSpPr>
        <xdr:cNvPr id="38" name="TextBox 37">
          <a:extLst>
            <a:ext uri="{FF2B5EF4-FFF2-40B4-BE49-F238E27FC236}">
              <a16:creationId xmlns:a16="http://schemas.microsoft.com/office/drawing/2014/main" id="{0DDF22FC-C9A6-95F7-F70A-09EA211011A0}"/>
            </a:ext>
          </a:extLst>
        </xdr:cNvPr>
        <xdr:cNvSpPr txBox="1"/>
      </xdr:nvSpPr>
      <xdr:spPr>
        <a:xfrm>
          <a:off x="3449782" y="1837007"/>
          <a:ext cx="1425632" cy="205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B1FCC58-6224-43CA-96B0-6935C54CFEE3}" type="TxLink">
            <a:rPr lang="en-US" sz="1100" b="0" i="0" u="none" strike="noStrike">
              <a:solidFill>
                <a:srgbClr val="000000"/>
              </a:solidFill>
              <a:latin typeface="Calibri"/>
              <a:ea typeface="Calibri"/>
              <a:cs typeface="Calibri"/>
            </a:rPr>
            <a:pPr algn="ctr"/>
            <a:t>4.79</a:t>
          </a:fld>
          <a:endParaRPr lang="en-IN" sz="1100" b="1"/>
        </a:p>
      </xdr:txBody>
    </xdr:sp>
    <xdr:clientData/>
  </xdr:twoCellAnchor>
  <xdr:twoCellAnchor editAs="oneCell">
    <xdr:from>
      <xdr:col>2</xdr:col>
      <xdr:colOff>450405</xdr:colOff>
      <xdr:row>9</xdr:row>
      <xdr:rowOff>118734</xdr:rowOff>
    </xdr:from>
    <xdr:to>
      <xdr:col>3</xdr:col>
      <xdr:colOff>93345</xdr:colOff>
      <xdr:row>11</xdr:row>
      <xdr:rowOff>5224</xdr:rowOff>
    </xdr:to>
    <xdr:pic>
      <xdr:nvPicPr>
        <xdr:cNvPr id="40" name="Graphic 39" descr="Male profile with solid fill">
          <a:extLst>
            <a:ext uri="{FF2B5EF4-FFF2-40B4-BE49-F238E27FC236}">
              <a16:creationId xmlns:a16="http://schemas.microsoft.com/office/drawing/2014/main" id="{FD2D029D-F9C2-07DB-ABE8-84F951CDD9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9605" y="1764654"/>
          <a:ext cx="252540" cy="252250"/>
        </a:xfrm>
        <a:prstGeom prst="rect">
          <a:avLst/>
        </a:prstGeom>
      </xdr:spPr>
    </xdr:pic>
    <xdr:clientData/>
  </xdr:twoCellAnchor>
  <xdr:twoCellAnchor editAs="oneCell">
    <xdr:from>
      <xdr:col>6</xdr:col>
      <xdr:colOff>35353</xdr:colOff>
      <xdr:row>9</xdr:row>
      <xdr:rowOff>85319</xdr:rowOff>
    </xdr:from>
    <xdr:to>
      <xdr:col>6</xdr:col>
      <xdr:colOff>314335</xdr:colOff>
      <xdr:row>10</xdr:row>
      <xdr:rowOff>178528</xdr:rowOff>
    </xdr:to>
    <xdr:pic>
      <xdr:nvPicPr>
        <xdr:cNvPr id="44" name="Picture 43">
          <a:extLst>
            <a:ext uri="{FF2B5EF4-FFF2-40B4-BE49-F238E27FC236}">
              <a16:creationId xmlns:a16="http://schemas.microsoft.com/office/drawing/2014/main" id="{834AD0D7-E751-B999-E4E3-4DE1F12D329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89490" y="1731239"/>
          <a:ext cx="278982" cy="276089"/>
        </a:xfrm>
        <a:prstGeom prst="rect">
          <a:avLst/>
        </a:prstGeom>
      </xdr:spPr>
    </xdr:pic>
    <xdr:clientData/>
  </xdr:twoCellAnchor>
  <xdr:twoCellAnchor editAs="oneCell">
    <xdr:from>
      <xdr:col>4</xdr:col>
      <xdr:colOff>109631</xdr:colOff>
      <xdr:row>9</xdr:row>
      <xdr:rowOff>110070</xdr:rowOff>
    </xdr:from>
    <xdr:to>
      <xdr:col>4</xdr:col>
      <xdr:colOff>363157</xdr:colOff>
      <xdr:row>10</xdr:row>
      <xdr:rowOff>180975</xdr:rowOff>
    </xdr:to>
    <xdr:pic>
      <xdr:nvPicPr>
        <xdr:cNvPr id="49" name="Graphic 48" descr="Hourglass Finished with solid fill">
          <a:extLst>
            <a:ext uri="{FF2B5EF4-FFF2-40B4-BE49-F238E27FC236}">
              <a16:creationId xmlns:a16="http://schemas.microsoft.com/office/drawing/2014/main" id="{8E26FF4A-8C43-7A61-F45D-CAB61E462AF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05231" y="1755990"/>
          <a:ext cx="253526" cy="253785"/>
        </a:xfrm>
        <a:prstGeom prst="rect">
          <a:avLst/>
        </a:prstGeom>
      </xdr:spPr>
    </xdr:pic>
    <xdr:clientData/>
  </xdr:twoCellAnchor>
  <xdr:twoCellAnchor editAs="oneCell">
    <xdr:from>
      <xdr:col>0</xdr:col>
      <xdr:colOff>66424</xdr:colOff>
      <xdr:row>3</xdr:row>
      <xdr:rowOff>52550</xdr:rowOff>
    </xdr:from>
    <xdr:to>
      <xdr:col>1</xdr:col>
      <xdr:colOff>278524</xdr:colOff>
      <xdr:row>16</xdr:row>
      <xdr:rowOff>99847</xdr:rowOff>
    </xdr:to>
    <mc:AlternateContent xmlns:mc="http://schemas.openxmlformats.org/markup-compatibility/2006" xmlns:a14="http://schemas.microsoft.com/office/drawing/2010/main">
      <mc:Choice Requires="a14">
        <xdr:graphicFrame macro="">
          <xdr:nvGraphicFramePr>
            <xdr:cNvPr id="50" name="Date (Month) 1">
              <a:extLst>
                <a:ext uri="{FF2B5EF4-FFF2-40B4-BE49-F238E27FC236}">
                  <a16:creationId xmlns:a16="http://schemas.microsoft.com/office/drawing/2014/main" id="{80F35C1C-F8E4-4EDC-A7DF-C360F0DDDA7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6424" y="601190"/>
              <a:ext cx="821700" cy="2424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116902</xdr:colOff>
      <xdr:row>0</xdr:row>
      <xdr:rowOff>73605</xdr:rowOff>
    </xdr:from>
    <xdr:to>
      <xdr:col>1</xdr:col>
      <xdr:colOff>194834</xdr:colOff>
      <xdr:row>2</xdr:row>
      <xdr:rowOff>148440</xdr:rowOff>
    </xdr:to>
    <xdr:pic>
      <xdr:nvPicPr>
        <xdr:cNvPr id="52" name="Picture 51">
          <a:extLst>
            <a:ext uri="{FF2B5EF4-FFF2-40B4-BE49-F238E27FC236}">
              <a16:creationId xmlns:a16="http://schemas.microsoft.com/office/drawing/2014/main" id="{E50FFCC3-80DA-BAD0-BA5B-9AB43B732DF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6902" y="73605"/>
          <a:ext cx="688398" cy="438517"/>
        </a:xfrm>
        <a:prstGeom prst="rect">
          <a:avLst/>
        </a:prstGeom>
      </xdr:spPr>
    </xdr:pic>
    <xdr:clientData/>
  </xdr:twoCellAnchor>
  <xdr:twoCellAnchor>
    <xdr:from>
      <xdr:col>1</xdr:col>
      <xdr:colOff>274595</xdr:colOff>
      <xdr:row>11</xdr:row>
      <xdr:rowOff>34291</xdr:rowOff>
    </xdr:from>
    <xdr:to>
      <xdr:col>3</xdr:col>
      <xdr:colOff>367982</xdr:colOff>
      <xdr:row>15</xdr:row>
      <xdr:rowOff>103527</xdr:rowOff>
    </xdr:to>
    <xdr:graphicFrame macro="">
      <xdr:nvGraphicFramePr>
        <xdr:cNvPr id="53" name="Chart 52">
          <a:hlinkClick xmlns:r="http://schemas.openxmlformats.org/officeDocument/2006/relationships" r:id="rId7"/>
          <a:extLst>
            <a:ext uri="{FF2B5EF4-FFF2-40B4-BE49-F238E27FC236}">
              <a16:creationId xmlns:a16="http://schemas.microsoft.com/office/drawing/2014/main" id="{066FB313-66CE-4B56-A44C-8B5B0A217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402394</xdr:colOff>
      <xdr:row>11</xdr:row>
      <xdr:rowOff>15055</xdr:rowOff>
    </xdr:from>
    <xdr:to>
      <xdr:col>5</xdr:col>
      <xdr:colOff>9832</xdr:colOff>
      <xdr:row>14</xdr:row>
      <xdr:rowOff>7434</xdr:rowOff>
    </xdr:to>
    <xdr:graphicFrame macro="">
      <xdr:nvGraphicFramePr>
        <xdr:cNvPr id="54" name="Chart 53">
          <a:hlinkClick xmlns:r="http://schemas.openxmlformats.org/officeDocument/2006/relationships" r:id="rId9"/>
          <a:extLst>
            <a:ext uri="{FF2B5EF4-FFF2-40B4-BE49-F238E27FC236}">
              <a16:creationId xmlns:a16="http://schemas.microsoft.com/office/drawing/2014/main" id="{1B64117B-3A10-48C0-AAE7-1C7492023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601980</xdr:colOff>
      <xdr:row>11</xdr:row>
      <xdr:rowOff>123193</xdr:rowOff>
    </xdr:from>
    <xdr:to>
      <xdr:col>6</xdr:col>
      <xdr:colOff>649606</xdr:colOff>
      <xdr:row>13</xdr:row>
      <xdr:rowOff>129811</xdr:rowOff>
    </xdr:to>
    <xdr:graphicFrame macro="">
      <xdr:nvGraphicFramePr>
        <xdr:cNvPr id="2" name="Chart 1">
          <a:hlinkClick xmlns:r="http://schemas.openxmlformats.org/officeDocument/2006/relationships" r:id="rId11"/>
          <a:extLst>
            <a:ext uri="{FF2B5EF4-FFF2-40B4-BE49-F238E27FC236}">
              <a16:creationId xmlns:a16="http://schemas.microsoft.com/office/drawing/2014/main" id="{CCDD6948-F168-4A1E-90D5-56C36B9AB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355500</xdr:colOff>
          <xdr:row>13</xdr:row>
          <xdr:rowOff>150643</xdr:rowOff>
        </xdr:from>
        <xdr:to>
          <xdr:col>7</xdr:col>
          <xdr:colOff>0</xdr:colOff>
          <xdr:row>16</xdr:row>
          <xdr:rowOff>99060</xdr:rowOff>
        </xdr:to>
        <xdr:pic>
          <xdr:nvPicPr>
            <xdr:cNvPr id="12" name="Picture 11">
              <a:extLst>
                <a:ext uri="{FF2B5EF4-FFF2-40B4-BE49-F238E27FC236}">
                  <a16:creationId xmlns:a16="http://schemas.microsoft.com/office/drawing/2014/main" id="{B9A10891-2A57-9294-6170-8B4ABBFF42FA}"/>
                </a:ext>
              </a:extLst>
            </xdr:cNvPr>
            <xdr:cNvPicPr>
              <a:picLocks noChangeAspect="1" noChangeArrowheads="1"/>
              <a:extLst>
                <a:ext uri="{84589F7E-364E-4C9E-8A38-B11213B215E9}">
                  <a14:cameraTool cellRange="'Pivot Report'!$B$43:$E$45" spid="_x0000_s2093"/>
                </a:ext>
              </a:extLst>
            </xdr:cNvPicPr>
          </xdr:nvPicPr>
          <xdr:blipFill>
            <a:blip xmlns:r="http://schemas.openxmlformats.org/officeDocument/2006/relationships" r:embed="rId13"/>
            <a:srcRect/>
            <a:stretch>
              <a:fillRect/>
            </a:stretch>
          </xdr:blipFill>
          <xdr:spPr bwMode="auto">
            <a:xfrm>
              <a:off x="965100" y="2528083"/>
              <a:ext cx="3949800" cy="49705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364091</xdr:colOff>
      <xdr:row>3</xdr:row>
      <xdr:rowOff>26123</xdr:rowOff>
    </xdr:from>
    <xdr:to>
      <xdr:col>6</xdr:col>
      <xdr:colOff>635725</xdr:colOff>
      <xdr:row>9</xdr:row>
      <xdr:rowOff>4354</xdr:rowOff>
    </xdr:to>
    <xdr:graphicFrame macro="">
      <xdr:nvGraphicFramePr>
        <xdr:cNvPr id="5" name="Chart 4">
          <a:extLst>
            <a:ext uri="{FF2B5EF4-FFF2-40B4-BE49-F238E27FC236}">
              <a16:creationId xmlns:a16="http://schemas.microsoft.com/office/drawing/2014/main" id="{1B3C5B6F-429C-44F2-8526-6D9DC103F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3</xdr:col>
      <xdr:colOff>491704</xdr:colOff>
      <xdr:row>8</xdr:row>
      <xdr:rowOff>110601</xdr:rowOff>
    </xdr:from>
    <xdr:to>
      <xdr:col>4</xdr:col>
      <xdr:colOff>572813</xdr:colOff>
      <xdr:row>9</xdr:row>
      <xdr:rowOff>36786</xdr:rowOff>
    </xdr:to>
    <xdr:sp macro="" textlink="">
      <xdr:nvSpPr>
        <xdr:cNvPr id="6" name="TextBox 5">
          <a:extLst>
            <a:ext uri="{FF2B5EF4-FFF2-40B4-BE49-F238E27FC236}">
              <a16:creationId xmlns:a16="http://schemas.microsoft.com/office/drawing/2014/main" id="{DE634969-1331-4D86-A2CE-7B9D0269CFE6}"/>
            </a:ext>
          </a:extLst>
        </xdr:cNvPr>
        <xdr:cNvSpPr txBox="1"/>
      </xdr:nvSpPr>
      <xdr:spPr>
        <a:xfrm>
          <a:off x="2320504" y="1582049"/>
          <a:ext cx="1147909" cy="110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solidFill>
                <a:srgbClr val="FF0000"/>
              </a:solidFill>
            </a:rPr>
            <a:t>No. Of Patient By Age</a:t>
          </a:r>
          <a:r>
            <a:rPr lang="en-IN" sz="700" baseline="0">
              <a:solidFill>
                <a:srgbClr val="FF0000"/>
              </a:solidFill>
            </a:rPr>
            <a:t>  Group</a:t>
          </a:r>
          <a:endParaRPr lang="en-IN" sz="700">
            <a:solidFill>
              <a:srgbClr val="FF0000"/>
            </a:solidFill>
          </a:endParaRPr>
        </a:p>
      </xdr:txBody>
    </xdr:sp>
    <xdr:clientData/>
  </xdr:twoCellAnchor>
  <xdr:twoCellAnchor>
    <xdr:from>
      <xdr:col>6</xdr:col>
      <xdr:colOff>640080</xdr:colOff>
      <xdr:row>10</xdr:row>
      <xdr:rowOff>26126</xdr:rowOff>
    </xdr:from>
    <xdr:to>
      <xdr:col>9</xdr:col>
      <xdr:colOff>299299</xdr:colOff>
      <xdr:row>16</xdr:row>
      <xdr:rowOff>82732</xdr:rowOff>
    </xdr:to>
    <xdr:graphicFrame macro="">
      <xdr:nvGraphicFramePr>
        <xdr:cNvPr id="7" name="Chart 6">
          <a:extLst>
            <a:ext uri="{FF2B5EF4-FFF2-40B4-BE49-F238E27FC236}">
              <a16:creationId xmlns:a16="http://schemas.microsoft.com/office/drawing/2014/main" id="{24419C43-B064-4FD0-AE94-71E13C2F4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10</xdr:col>
      <xdr:colOff>113883</xdr:colOff>
      <xdr:row>15</xdr:row>
      <xdr:rowOff>172926</xdr:rowOff>
    </xdr:from>
    <xdr:to>
      <xdr:col>11</xdr:col>
      <xdr:colOff>309356</xdr:colOff>
      <xdr:row>16</xdr:row>
      <xdr:rowOff>91419</xdr:rowOff>
    </xdr:to>
    <xdr:sp macro="" textlink="">
      <xdr:nvSpPr>
        <xdr:cNvPr id="8" name="TextBox 7">
          <a:extLst>
            <a:ext uri="{FF2B5EF4-FFF2-40B4-BE49-F238E27FC236}">
              <a16:creationId xmlns:a16="http://schemas.microsoft.com/office/drawing/2014/main" id="{36389165-06A2-045C-81B9-8D2F84F7DE36}"/>
            </a:ext>
          </a:extLst>
        </xdr:cNvPr>
        <xdr:cNvSpPr txBox="1"/>
      </xdr:nvSpPr>
      <xdr:spPr>
        <a:xfrm>
          <a:off x="6803717" y="2931892"/>
          <a:ext cx="805073" cy="10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solidFill>
                <a:srgbClr val="FF0000"/>
              </a:solidFill>
            </a:rPr>
            <a:t>Gender</a:t>
          </a:r>
          <a:r>
            <a:rPr lang="en-IN" sz="700" baseline="0">
              <a:solidFill>
                <a:srgbClr val="FF0000"/>
              </a:solidFill>
            </a:rPr>
            <a:t> Wise Analysis</a:t>
          </a:r>
          <a:endParaRPr lang="en-IN" sz="700">
            <a:solidFill>
              <a:srgbClr val="FF0000"/>
            </a:solidFill>
          </a:endParaRPr>
        </a:p>
      </xdr:txBody>
    </xdr:sp>
    <xdr:clientData/>
  </xdr:twoCellAnchor>
  <xdr:twoCellAnchor>
    <xdr:from>
      <xdr:col>9</xdr:col>
      <xdr:colOff>390083</xdr:colOff>
      <xdr:row>9</xdr:row>
      <xdr:rowOff>173420</xdr:rowOff>
    </xdr:from>
    <xdr:to>
      <xdr:col>11</xdr:col>
      <xdr:colOff>603098</xdr:colOff>
      <xdr:row>16</xdr:row>
      <xdr:rowOff>81730</xdr:rowOff>
    </xdr:to>
    <xdr:graphicFrame macro="">
      <xdr:nvGraphicFramePr>
        <xdr:cNvPr id="9" name="Chart 8">
          <a:extLst>
            <a:ext uri="{FF2B5EF4-FFF2-40B4-BE49-F238E27FC236}">
              <a16:creationId xmlns:a16="http://schemas.microsoft.com/office/drawing/2014/main" id="{96AAC9BE-A03E-4F9D-8CB7-143403AAB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367351</xdr:colOff>
      <xdr:row>15</xdr:row>
      <xdr:rowOff>170580</xdr:rowOff>
    </xdr:from>
    <xdr:to>
      <xdr:col>9</xdr:col>
      <xdr:colOff>7653</xdr:colOff>
      <xdr:row>16</xdr:row>
      <xdr:rowOff>89073</xdr:rowOff>
    </xdr:to>
    <xdr:sp macro="" textlink="">
      <xdr:nvSpPr>
        <xdr:cNvPr id="10" name="TextBox 9">
          <a:extLst>
            <a:ext uri="{FF2B5EF4-FFF2-40B4-BE49-F238E27FC236}">
              <a16:creationId xmlns:a16="http://schemas.microsoft.com/office/drawing/2014/main" id="{150DDF3A-2B2D-741C-E1F2-69B5C7CEC56E}"/>
            </a:ext>
          </a:extLst>
        </xdr:cNvPr>
        <xdr:cNvSpPr txBox="1"/>
      </xdr:nvSpPr>
      <xdr:spPr>
        <a:xfrm>
          <a:off x="5280937" y="2929546"/>
          <a:ext cx="806950" cy="10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solidFill>
                <a:srgbClr val="FF0000"/>
              </a:solidFill>
            </a:rPr>
            <a:t>Patient</a:t>
          </a:r>
          <a:r>
            <a:rPr lang="en-IN" sz="700" baseline="0">
              <a:solidFill>
                <a:srgbClr val="FF0000"/>
              </a:solidFill>
            </a:rPr>
            <a:t> Attend Status</a:t>
          </a:r>
          <a:endParaRPr lang="en-IN" sz="700">
            <a:solidFill>
              <a:srgbClr val="FF0000"/>
            </a:solidFill>
          </a:endParaRPr>
        </a:p>
      </xdr:txBody>
    </xdr:sp>
    <xdr:clientData/>
  </xdr:twoCellAnchor>
  <xdr:twoCellAnchor>
    <xdr:from>
      <xdr:col>7</xdr:col>
      <xdr:colOff>38676</xdr:colOff>
      <xdr:row>0</xdr:row>
      <xdr:rowOff>32743</xdr:rowOff>
    </xdr:from>
    <xdr:to>
      <xdr:col>11</xdr:col>
      <xdr:colOff>600581</xdr:colOff>
      <xdr:row>9</xdr:row>
      <xdr:rowOff>154283</xdr:rowOff>
    </xdr:to>
    <xdr:graphicFrame macro="">
      <xdr:nvGraphicFramePr>
        <xdr:cNvPr id="14" name="Chart 13">
          <a:extLst>
            <a:ext uri="{FF2B5EF4-FFF2-40B4-BE49-F238E27FC236}">
              <a16:creationId xmlns:a16="http://schemas.microsoft.com/office/drawing/2014/main" id="{65D5BA04-9E83-41B3-A875-E539ECE85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199815</xdr:colOff>
      <xdr:row>9</xdr:row>
      <xdr:rowOff>29213</xdr:rowOff>
    </xdr:from>
    <xdr:to>
      <xdr:col>10</xdr:col>
      <xdr:colOff>472965</xdr:colOff>
      <xdr:row>10</xdr:row>
      <xdr:rowOff>0</xdr:rowOff>
    </xdr:to>
    <xdr:sp macro="" textlink="">
      <xdr:nvSpPr>
        <xdr:cNvPr id="15" name="TextBox 14">
          <a:extLst>
            <a:ext uri="{FF2B5EF4-FFF2-40B4-BE49-F238E27FC236}">
              <a16:creationId xmlns:a16="http://schemas.microsoft.com/office/drawing/2014/main" id="{33715543-5D8C-C2C9-B47A-021AAA48C7AA}"/>
            </a:ext>
          </a:extLst>
        </xdr:cNvPr>
        <xdr:cNvSpPr txBox="1"/>
      </xdr:nvSpPr>
      <xdr:spPr>
        <a:xfrm>
          <a:off x="5723001" y="1684592"/>
          <a:ext cx="1439798" cy="1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solidFill>
                <a:srgbClr val="FF0000"/>
              </a:solidFill>
            </a:rPr>
            <a:t>No.</a:t>
          </a:r>
          <a:r>
            <a:rPr lang="en-IN" sz="700" baseline="0">
              <a:solidFill>
                <a:srgbClr val="FF0000"/>
              </a:solidFill>
            </a:rPr>
            <a:t> of Patient by Demartment Referal</a:t>
          </a:r>
          <a:endParaRPr lang="en-IN" sz="700">
            <a:solidFill>
              <a:srgbClr val="FF0000"/>
            </a:solidFill>
          </a:endParaRPr>
        </a:p>
      </xdr:txBody>
    </xdr:sp>
    <xdr:clientData/>
  </xdr:twoCellAnchor>
  <xdr:twoCellAnchor editAs="absolute">
    <xdr:from>
      <xdr:col>5</xdr:col>
      <xdr:colOff>21139</xdr:colOff>
      <xdr:row>11</xdr:row>
      <xdr:rowOff>18703</xdr:rowOff>
    </xdr:from>
    <xdr:to>
      <xdr:col>6</xdr:col>
      <xdr:colOff>641132</xdr:colOff>
      <xdr:row>12</xdr:row>
      <xdr:rowOff>40326</xdr:rowOff>
    </xdr:to>
    <xdr:sp macro="" textlink="">
      <xdr:nvSpPr>
        <xdr:cNvPr id="16" name="TextBox 15">
          <a:extLst>
            <a:ext uri="{FF2B5EF4-FFF2-40B4-BE49-F238E27FC236}">
              <a16:creationId xmlns:a16="http://schemas.microsoft.com/office/drawing/2014/main" id="{4BF42EEF-D1B9-3669-5690-3D62907158E0}"/>
            </a:ext>
          </a:extLst>
        </xdr:cNvPr>
        <xdr:cNvSpPr txBox="1"/>
      </xdr:nvSpPr>
      <xdr:spPr>
        <a:xfrm>
          <a:off x="3526339" y="2041944"/>
          <a:ext cx="1366227" cy="205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solidFill>
                <a:srgbClr val="FF0000"/>
              </a:solidFill>
            </a:rPr>
            <a:t>Patient</a:t>
          </a:r>
          <a:r>
            <a:rPr lang="en-IN" sz="1000" baseline="0">
              <a:solidFill>
                <a:srgbClr val="FF0000"/>
              </a:solidFill>
            </a:rPr>
            <a:t> Satisfaction Score</a:t>
          </a:r>
          <a:endParaRPr lang="en-IN" sz="1000">
            <a:solidFill>
              <a:srgbClr val="FF0000"/>
            </a:solidFill>
          </a:endParaRPr>
        </a:p>
      </xdr:txBody>
    </xdr:sp>
    <xdr:clientData/>
  </xdr:twoCellAnchor>
  <xdr:twoCellAnchor editAs="oneCell">
    <xdr:from>
      <xdr:col>4</xdr:col>
      <xdr:colOff>499241</xdr:colOff>
      <xdr:row>0</xdr:row>
      <xdr:rowOff>63062</xdr:rowOff>
    </xdr:from>
    <xdr:to>
      <xdr:col>6</xdr:col>
      <xdr:colOff>630621</xdr:colOff>
      <xdr:row>2</xdr:row>
      <xdr:rowOff>141890</xdr:rowOff>
    </xdr:to>
    <mc:AlternateContent xmlns:mc="http://schemas.openxmlformats.org/markup-compatibility/2006" xmlns:a14="http://schemas.microsoft.com/office/drawing/2010/main">
      <mc:Choice Requires="a14">
        <xdr:graphicFrame macro="">
          <xdr:nvGraphicFramePr>
            <xdr:cNvPr id="18" name="Date (Year) 1">
              <a:extLst>
                <a:ext uri="{FF2B5EF4-FFF2-40B4-BE49-F238E27FC236}">
                  <a16:creationId xmlns:a16="http://schemas.microsoft.com/office/drawing/2014/main" id="{24D6AC2F-300B-4ED4-BEEA-2E17167287D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94841" y="63062"/>
              <a:ext cx="1489917" cy="444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38878</xdr:colOff>
      <xdr:row>28</xdr:row>
      <xdr:rowOff>145048</xdr:rowOff>
    </xdr:to>
    <xdr:graphicFrame macro="">
      <xdr:nvGraphicFramePr>
        <xdr:cNvPr id="2" name="Chart 1">
          <a:extLst>
            <a:ext uri="{FF2B5EF4-FFF2-40B4-BE49-F238E27FC236}">
              <a16:creationId xmlns:a16="http://schemas.microsoft.com/office/drawing/2014/main" id="{5584CB51-19E4-4615-95CC-0086A629C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120281</xdr:colOff>
      <xdr:row>0</xdr:row>
      <xdr:rowOff>0</xdr:rowOff>
    </xdr:from>
    <xdr:to>
      <xdr:col>2</xdr:col>
      <xdr:colOff>85531</xdr:colOff>
      <xdr:row>3</xdr:row>
      <xdr:rowOff>25625</xdr:rowOff>
    </xdr:to>
    <xdr:pic>
      <xdr:nvPicPr>
        <xdr:cNvPr id="4" name="Graphic 3" descr="House with solid fill">
          <a:extLst>
            <a:ext uri="{FF2B5EF4-FFF2-40B4-BE49-F238E27FC236}">
              <a16:creationId xmlns:a16="http://schemas.microsoft.com/office/drawing/2014/main" id="{9C4A1105-3E24-4600-89BF-E0474F3D9D8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26771" y="0"/>
          <a:ext cx="571740" cy="5854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19</xdr:col>
      <xdr:colOff>497305</xdr:colOff>
      <xdr:row>27</xdr:row>
      <xdr:rowOff>76200</xdr:rowOff>
    </xdr:to>
    <xdr:graphicFrame macro="">
      <xdr:nvGraphicFramePr>
        <xdr:cNvPr id="2" name="Chart 1">
          <a:extLst>
            <a:ext uri="{FF2B5EF4-FFF2-40B4-BE49-F238E27FC236}">
              <a16:creationId xmlns:a16="http://schemas.microsoft.com/office/drawing/2014/main" id="{D3CB9EE4-0FA4-408D-9C4F-CBFCDD536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585651</xdr:colOff>
      <xdr:row>1</xdr:row>
      <xdr:rowOff>17418</xdr:rowOff>
    </xdr:from>
    <xdr:to>
      <xdr:col>1</xdr:col>
      <xdr:colOff>483145</xdr:colOff>
      <xdr:row>3</xdr:row>
      <xdr:rowOff>144780</xdr:rowOff>
    </xdr:to>
    <xdr:pic>
      <xdr:nvPicPr>
        <xdr:cNvPr id="3" name="Graphic 2" descr="House with solid fill">
          <a:extLst>
            <a:ext uri="{FF2B5EF4-FFF2-40B4-BE49-F238E27FC236}">
              <a16:creationId xmlns:a16="http://schemas.microsoft.com/office/drawing/2014/main" id="{2BB46A25-7AD2-47CB-AAB8-0D614828154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5651" y="200298"/>
          <a:ext cx="507094" cy="49312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593725</xdr:colOff>
      <xdr:row>28</xdr:row>
      <xdr:rowOff>68580</xdr:rowOff>
    </xdr:to>
    <xdr:graphicFrame macro="">
      <xdr:nvGraphicFramePr>
        <xdr:cNvPr id="2" name="Chart 1">
          <a:extLst>
            <a:ext uri="{FF2B5EF4-FFF2-40B4-BE49-F238E27FC236}">
              <a16:creationId xmlns:a16="http://schemas.microsoft.com/office/drawing/2014/main" id="{3BFDE6E1-E8C3-482F-A15E-9FFB72D9B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0.04175</cdr:x>
      <cdr:y>0.03825</cdr:y>
    </cdr:from>
    <cdr:to>
      <cdr:x>0.09882</cdr:x>
      <cdr:y>0.1474</cdr:y>
    </cdr:to>
    <cdr:pic>
      <cdr:nvPicPr>
        <cdr:cNvPr id="2" name="Graphic 2" descr="House with solid fill">
          <a:extLst xmlns:a="http://schemas.openxmlformats.org/drawingml/2006/main">
            <a:ext uri="{FF2B5EF4-FFF2-40B4-BE49-F238E27FC236}">
              <a16:creationId xmlns:a16="http://schemas.microsoft.com/office/drawing/2014/main" id="{2BB46A25-7AD2-47CB-AAB8-0D614828154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82923" y="198485"/>
          <a:ext cx="660078" cy="56638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0578704" createdVersion="5" refreshedVersion="8" minRefreshableVersion="3" recordCount="0" supportSubquery="1" supportAdvancedDrill="1" xr:uid="{CF3F1185-366C-4A14-9E61-7B35C794EF44}">
  <cacheSource type="external" connectionId="3"/>
  <cacheFields count="4">
    <cacheField name="[Calendar Table].[Date (Month)].[Date (Month)]" caption="Date (Month)" numFmtId="0" hierarchy="1" level="1">
      <sharedItems count="1">
        <s v="Apr"/>
      </sharedItems>
    </cacheField>
    <cacheField name="[Calendar 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 Table].[Date (Quarter)].[Date (Quarter)]" caption="Date (Quarter)" numFmtId="0" hierarchy="4" level="1">
      <sharedItems count="1">
        <s v="Qtr2"/>
      </sharedItems>
    </cacheField>
    <cacheField name="[Calendar Table].[Date (Year)].[Date (Year)]" caption="Date (Year)" numFmtId="0" hierarchy="3" level="1">
      <sharedItems count="1">
        <s v="2024"/>
      </sharedItems>
    </cacheField>
  </cacheFields>
  <cacheHierarchies count="35">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0925927" createdVersion="5" refreshedVersion="8" minRefreshableVersion="3" recordCount="0" supportSubquery="1" supportAdvancedDrill="1" xr:uid="{2DB15396-C3D5-484A-B42C-EEB260275CE4}">
  <cacheSource type="external" connectionId="3"/>
  <cacheFields count="3">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1388889" createdVersion="5" refreshedVersion="8" minRefreshableVersion="3" recordCount="0" supportSubquery="1" supportAdvancedDrill="1" xr:uid="{505708D5-94B9-4A13-9A07-74950854B30C}">
  <cacheSource type="external" connectionId="3"/>
  <cacheFields count="4">
    <cacheField name="[Calendar 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9"/>
        <s v="10-19"/>
        <s v="20-29"/>
        <s v="30-39"/>
        <s v="40-49"/>
        <s v="50-59"/>
        <s v="60-69"/>
        <s v="70-79"/>
      </sharedItems>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196759" createdVersion="5" refreshedVersion="8" minRefreshableVersion="3" recordCount="0" supportSubquery="1" supportAdvancedDrill="1" xr:uid="{C30476AC-A2E5-4A7B-9F0F-966F6DEFD499}">
  <cacheSource type="external" connectionId="3"/>
  <cacheFields count="4">
    <cacheField name="[Calendar Table].[Date (Month)].[Date (Month)]" caption="Date (Month)" numFmtId="0" hierarchy="1" level="1">
      <sharedItems containsSemiMixedTypes="0" containsNonDate="0" containsString="0"/>
    </cacheField>
    <cacheField name="[Measures].[Count of Patient Attend Status]" caption="Count of Patient Attend Status" numFmtId="0" hierarchy="32" level="32767"/>
    <cacheField name="[Hospital Emergency Room Data].[Patient Attend Status].[Patient Attend Status]" caption="Patient Attend Status" numFmtId="0" hierarchy="17" level="1">
      <sharedItems count="2">
        <s v="Delay"/>
        <s v="Ontime"/>
      </sharedItems>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2546298" createdVersion="5" refreshedVersion="8" minRefreshableVersion="3" recordCount="0" supportSubquery="1" supportAdvancedDrill="1" xr:uid="{ECC5B752-001C-4F84-B6CE-360F8B1812C0}">
  <cacheSource type="external" connectionId="3"/>
  <cacheFields count="4">
    <cacheField name="[Calendar Table].[Date (Month)].[Date (Month)]" caption="Date (Month)" numFmtId="0" hierarchy="1" level="1">
      <sharedItems containsSemiMixedTypes="0" containsNonDate="0" containsString="0"/>
    </cacheField>
    <cacheField name="[Measures].[Count of Patient Gender]" caption="Count of Patient Gender" numFmtId="0" hierarchy="33" level="32767"/>
    <cacheField name="[Hospital Emergency Room Data].[Patient Gender].[Patient Gender]" caption="Patient Gender" numFmtId="0" hierarchy="9" level="1">
      <sharedItems count="2">
        <s v="Female"/>
        <s v="Male"/>
      </sharedItems>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300926" createdVersion="5" refreshedVersion="8" minRefreshableVersion="3" recordCount="0" supportSubquery="1" supportAdvancedDrill="1" xr:uid="{C065BC92-69EE-45D7-86BB-5CB0DD8DA748}">
  <cacheSource type="external" connectionId="3"/>
  <cacheFields count="4">
    <cacheField name="[Calenda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3356483" createdVersion="5" refreshedVersion="8" minRefreshableVersion="3" recordCount="0" supportSubquery="1" supportAdvancedDrill="1" xr:uid="{828702C0-C3A5-483F-8ACE-1340A040445C}">
  <cacheSource type="external" connectionId="3"/>
  <cacheFields count="3">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3703706" createdVersion="5" refreshedVersion="8" minRefreshableVersion="3" recordCount="0" supportSubquery="1" supportAdvancedDrill="1" xr:uid="{18474894-2B39-447E-A596-400B8368E51B}">
  <cacheSource type="external" connectionId="3"/>
  <cacheFields count="3">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4166668" createdVersion="5" refreshedVersion="8" minRefreshableVersion="3" recordCount="0" supportSubquery="1" supportAdvancedDrill="1" xr:uid="{1EDC560B-39C3-4C5E-B8B2-DBC415963DBB}">
  <cacheSource type="external" connectionId="3"/>
  <cacheFields count="4">
    <cacheField name="[Measures].[Distinct Count of Patient Id]" caption="Distinct Count of Patient Id" numFmtId="0" hierarchy="24" level="32767"/>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4745369" createdVersion="5" refreshedVersion="8" minRefreshableVersion="3" recordCount="0" supportSubquery="1" supportAdvancedDrill="1" xr:uid="{44734711-553E-48F5-9048-1E1D611666B6}">
  <cacheSource type="external" connectionId="3"/>
  <cacheFields count="4">
    <cacheField name="[Measures].[Distinct Count of Patient Id]" caption="Distinct Count of Patient Id" numFmtId="0" hierarchy="24" level="32767"/>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520833" createdVersion="5" refreshedVersion="8" minRefreshableVersion="3" recordCount="0" supportSubquery="1" supportAdvancedDrill="1" xr:uid="{716841AE-0D23-44CB-9CE7-8364A6E70E5E}">
  <cacheSource type="external" connectionId="3"/>
  <cacheFields count="4">
    <cacheField name="[Measures].[Distinct Count of Patient Id]" caption="Distinct Count of Patient Id" numFmtId="0" hierarchy="24" level="32767"/>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5787038" createdVersion="5" refreshedVersion="8" minRefreshableVersion="3" recordCount="0" supportSubquery="1" supportAdvancedDrill="1" xr:uid="{89CAC1A9-2E49-4B2E-BE03-82C0B0C12749}">
  <cacheSource type="external" connectionId="3"/>
  <cacheFields count="4">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6365739" createdVersion="5" refreshedVersion="8" minRefreshableVersion="3" recordCount="0" supportSubquery="1" supportAdvancedDrill="1" xr:uid="{04861B5B-892B-4558-BC53-4C1FF69A2AAB}">
  <cacheSource type="external" connectionId="3"/>
  <cacheFields count="4">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6.780106828701" createdVersion="5" refreshedVersion="8" minRefreshableVersion="3" recordCount="0" supportSubquery="1" supportAdvancedDrill="1" xr:uid="{77D0A9B1-E8FE-47E6-8C8A-5DB3A35C897A}">
  <cacheSource type="external" connectionId="3"/>
  <cacheFields count="5">
    <cacheField name="[Calenda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 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refreshedDate="45905.62352627315" createdVersion="3" refreshedVersion="8" minRefreshableVersion="3" recordCount="0" supportSubquery="1" supportAdvancedDrill="1" xr:uid="{B3AA259B-820C-4393-8919-8396B406AF7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051003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7282ED-894A-45FF-AA9E-CC52D0D40E73}" name="PivotTable6" cacheId="10" applyNumberFormats="0" applyBorderFormats="0" applyFontFormats="0" applyPatternFormats="0" applyAlignmentFormats="0" applyWidthHeightFormats="1" dataCaption="Values" tag="c87a746e-a598-40ca-b5a8-7da853a56fcd" updatedVersion="8" minRefreshableVersion="3" subtotalHiddenItems="1" itemPrintTitles="1" createdVersion="5" indent="0" outline="1" outlineData="1" multipleFieldFilters="0" chartFormat="15" rowHeaderCaption=" ">
  <location ref="S6:T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C80EFA-A119-4E15-899D-D7E24EFBBBEB}" name="PivotTable13" cacheId="5" applyNumberFormats="0" applyBorderFormats="0" applyFontFormats="0" applyPatternFormats="0" applyAlignmentFormats="0" applyWidthHeightFormats="1" dataCaption="Values" tag="711d33ce-72bb-4a0c-a20e-ad4d129a8bc2" updatedVersion="8" minRefreshableVersion="3" subtotalHiddenItems="1" itemPrintTitles="1" createdVersion="5" indent="0" outline="1" outlineData="1" multipleFieldFilters="0" chartFormat="59">
  <location ref="B63:C7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0">
      <pivotArea outline="0" collapsedLevelsAreSubtotals="1" fieldPosition="0"/>
    </format>
  </formats>
  <chartFormats count="1">
    <chartFormat chart="5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2FD1B1-84B4-404F-AEC8-267CCDC79FBA}" name="PivotTable7" cacheId="11" applyNumberFormats="0" applyBorderFormats="0" applyFontFormats="0" applyPatternFormats="0" applyAlignmentFormats="0" applyWidthHeightFormats="1" dataCaption="Values" tag="3886e812-4608-4cb1-b0e1-8d8fce344ea2" updatedVersion="8" minRefreshableVersion="3" subtotalHiddenItems="1" itemPrintTitles="1" createdVersion="5" indent="0" outline="1" outlineData="1" multipleFieldFilters="0" chartFormat="27" rowHeaderCaption="Row Labels">
  <location ref="G3:H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7">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axis="axisValues" fieldPosition="0"/>
    </format>
    <format dxfId="1">
      <pivotArea outline="0" collapsedLevelsAreSubtotals="1" fieldPosition="0"/>
    </format>
  </formats>
  <chartFormats count="3">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EE9132-8B62-40EA-B4B6-319A12343902}" name="PivotTable11" cacheId="3" applyNumberFormats="0" applyBorderFormats="0" applyFontFormats="0" applyPatternFormats="0" applyAlignmentFormats="0" applyWidthHeightFormats="1" dataCaption="Values" tag="42447755-c9a9-4b26-a21d-88332f1df7cd" updatedVersion="8" minRefreshableVersion="3" subtotalHiddenItems="1" itemPrintTitles="1" createdVersion="5" indent="0" outline="1" outlineData="1" multipleFieldFilters="0" chartFormat="46">
  <location ref="F48:G5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1">
    <format dxfId="8">
      <pivotArea outline="0" collapsedLevelsAreSubtotals="1" fieldPosition="0"/>
    </format>
  </formats>
  <chartFormats count="3">
    <chartFormat chart="39" format="4" series="1">
      <pivotArea type="data" outline="0" fieldPosition="0">
        <references count="1">
          <reference field="4294967294" count="1" selected="0">
            <x v="0"/>
          </reference>
        </references>
      </pivotArea>
    </chartFormat>
    <chartFormat chart="39" format="5">
      <pivotArea type="data" outline="0" fieldPosition="0">
        <references count="2">
          <reference field="4294967294" count="1" selected="0">
            <x v="0"/>
          </reference>
          <reference field="2" count="1" selected="0">
            <x v="0"/>
          </reference>
        </references>
      </pivotArea>
    </chartFormat>
    <chartFormat chart="39"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0111C7-B576-4B8C-B7C6-15CDDAE9D952}" name="PivotTable4" cacheId="8" applyNumberFormats="0" applyBorderFormats="0" applyFontFormats="0" applyPatternFormats="0" applyAlignmentFormats="0" applyWidthHeightFormats="1" dataCaption="Values" tag="b6bc9556-7075-4fe6-8c73-5c7c4277ca13" updatedVersion="8" minRefreshableVersion="3" subtotalHiddenItems="1" itemPrintTitles="1" createdVersion="5" indent="0" outline="1" outlineData="1" multipleFieldFilters="0" chartFormat="19" rowHeaderCaption="Row Labels">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6">
    <format dxfId="14">
      <pivotArea collapsedLevelsAreSubtotals="1" fieldPosition="0">
        <references count="1">
          <reference field="1" count="0"/>
        </references>
      </pivotArea>
    </format>
    <format dxfId="13">
      <pivotArea dataOnly="0" labelOnly="1" outline="0" axis="axisValues" fieldPosition="0"/>
    </format>
    <format dxfId="12">
      <pivotArea grandRow="1"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s>
  <chartFormats count="2">
    <chartFormat chart="3" format="14"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954516-EAA6-4D24-A45E-E1B9BE09CF1C}" name="PivotTable8" cacheId="12" applyNumberFormats="0" applyBorderFormats="0" applyFontFormats="0" applyPatternFormats="0" applyAlignmentFormats="0" applyWidthHeightFormats="1" dataCaption="Values" tag="5dd5d966-c1a7-42a4-868a-1dadb0d1224e" updatedVersion="8" minRefreshableVersion="3" subtotalHiddenItems="1" itemPrintTitles="1" createdVersion="5" indent="0" outline="1" outlineData="1" multipleFieldFilters="0" chartFormat="42" rowHeaderCaption="Row Labels">
  <location ref="J3:K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2"/>
  </dataFields>
  <formats count="7">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axis="axisValues" fieldPosition="0"/>
    </format>
    <format dxfId="15">
      <pivotArea outline="0" collapsedLevelsAreSubtotals="1" fieldPosition="0"/>
    </format>
  </formats>
  <chartFormats count="2">
    <chartFormat chart="29" format="5"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8FD6C3-061F-4297-9A6C-471776FF3C33}" name="PivotTable1" cacheId="1" applyNumberFormats="0" applyBorderFormats="0" applyFontFormats="0" applyPatternFormats="0" applyAlignmentFormats="0" applyWidthHeightFormats="1" dataCaption="Values" tag="ff542b5d-9416-4f47-9f9a-b48ca7d3e09b"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C28C68-72E5-4B90-8C60-E981236806A7}" name="PivotTable2" cacheId="6" applyNumberFormats="0" applyBorderFormats="0" applyFontFormats="0" applyPatternFormats="0" applyAlignmentFormats="0" applyWidthHeightFormats="1" dataCaption="Values" tag="9b3e0734-d167-4af2-ae0c-0e4077f02a3f" updatedVersion="8" minRefreshableVersion="3"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2">
      <pivotArea outline="0" collapsedLevelsAreSubtotals="1" fieldPosition="0"/>
    </format>
  </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7B26B3-1C50-4F5E-B098-A43508550950}" name="PivotTable5" cacheId="9" applyNumberFormats="0" applyBorderFormats="0" applyFontFormats="0" applyPatternFormats="0" applyAlignmentFormats="0" applyWidthHeightFormats="1" dataCaption="Values" tag="76791fd8-d4f9-426c-ab63-9f8ae2f11ee3" updatedVersion="8" minRefreshableVersion="3" subtotalHiddenItems="1" itemPrintTitles="1" createdVersion="5" indent="0" outline="1" outlineData="1" multipleFieldFilters="0" chartFormat="15" rowHeaderCaption=" ">
  <location ref="P5:Q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0ECA93-6E11-4555-A8F1-D98A3DD08271}" name="PivotTable9" cacheId="13" applyNumberFormats="0" applyBorderFormats="0" applyFontFormats="0" applyPatternFormats="0" applyAlignmentFormats="0" applyWidthHeightFormats="1" dataCaption="Values" tag="c9769ef6-35bc-446b-b77b-c78062e8770f" updatedVersion="8" minRefreshableVersion="3" subtotalHiddenItems="1" itemPrintTitles="1" createdVersion="5" indent="0" outline="1" outlineData="1" multipleFieldFilters="0" chartFormat="32">
  <location ref="B37:D4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4">
      <pivotArea outline="0" collapsedLevelsAreSubtotals="1" fieldPosition="0"/>
    </format>
    <format dxfId="2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DA4F3A-FCAA-4E35-98FC-F5C1ED5F2251}" name="PivotTable12" cacheId="4" applyNumberFormats="0" applyBorderFormats="0" applyFontFormats="0" applyPatternFormats="0" applyAlignmentFormats="0" applyWidthHeightFormats="1" dataCaption="Values" tag="c17b9df3-1bc3-4e3b-8854-fb4e1a67e15a" updatedVersion="8" minRefreshableVersion="3" subtotalHiddenItems="1" itemPrintTitles="1" createdVersion="5" indent="0" outline="1" outlineData="1" multipleFieldFilters="0" chartFormat="50">
  <location ref="F57:G6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25">
      <pivotArea outline="0" collapsedLevelsAreSubtotals="1" fieldPosition="0"/>
    </format>
  </formats>
  <chartFormats count="3">
    <chartFormat chart="48" format="4" series="1">
      <pivotArea type="data" outline="0" fieldPosition="0">
        <references count="1">
          <reference field="4294967294" count="1" selected="0">
            <x v="0"/>
          </reference>
        </references>
      </pivotArea>
    </chartFormat>
    <chartFormat chart="48" format="5">
      <pivotArea type="data" outline="0" fieldPosition="0">
        <references count="2">
          <reference field="4294967294" count="1" selected="0">
            <x v="0"/>
          </reference>
          <reference field="2" count="1" selected="0">
            <x v="0"/>
          </reference>
        </references>
      </pivotArea>
    </chartFormat>
    <chartFormat chart="48"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4ED6B0-B63E-4AAE-9F8B-E7CD5F7ACA2D}" name="PivotTable3" cacheId="7" applyNumberFormats="0" applyBorderFormats="0" applyFontFormats="0" applyPatternFormats="0" applyAlignmentFormats="0" applyWidthHeightFormats="1" dataCaption="Values" tag="6296d9bd-c67e-494f-ba38-55b8b7e29bb4" updatedVersion="8" minRefreshableVersion="3" subtotalHiddenItems="1" itemPrintTitles="1" createdVersion="5"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6">
      <pivotArea outline="0" collapsedLevelsAreSubtotals="1" fieldPosition="0"/>
    </format>
  </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D3E5AE-57B8-4C6E-8594-C31A4E61FE67}" name="PivotTable10" cacheId="2" applyNumberFormats="0" applyBorderFormats="0" applyFontFormats="0" applyPatternFormats="0" applyAlignmentFormats="0" applyWidthHeightFormats="1" dataCaption="Values" tag="fb62de1d-f0dd-4b9d-8b4c-0c7c81923659" updatedVersion="8" minRefreshableVersion="3" subtotalHiddenItems="1" itemPrintTitles="1" createdVersion="5" indent="0" outline="1" outlineData="1" multipleFieldFilters="0" chartFormat="37">
  <location ref="B48:C5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27">
      <pivotArea outline="0" collapsedLevelsAreSubtotals="1" fieldPosition="0"/>
    </format>
  </formats>
  <chartFormats count="1">
    <chartFormat chart="3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D73AF1-586D-4356-B208-139503F59EE2}" name="PivotTable14" cacheId="0" applyNumberFormats="0" applyBorderFormats="0" applyFontFormats="0" applyPatternFormats="0" applyAlignmentFormats="0" applyWidthHeightFormats="1" dataCaption="Values" tag="3bb9d4c7-7863-4ba4-b81c-5096a9864b5d" updatedVersion="8" minRefreshableVersion="3" subtotalHiddenItems="1" itemPrintTitles="1" createdVersion="5" indent="0" outline="1" outlineData="1" multipleFieldFilters="0" chartFormat="59">
  <location ref="E63:E6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8">
      <pivotArea outline="0" collapsedLevelsAreSubtotals="1" fieldPosition="0"/>
    </format>
  </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AA01A3F-7645-4718-BD7F-77C09DD7E136}" sourceName="[Calendar Table].[Date (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data>
    <olap pivotCacheId="1505100341">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DCBC773-382C-46E8-9E7D-1B306121A0AC}" sourceName="[Calendar Table].[Date (Year)]">
  <pivotTables>
    <pivotTable tabId="2" name="PivotTable14"/>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505100341">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5A7F92A-987F-471B-B6F3-50308ADE6843}" cache="Slicer_Date__Month" caption="Date (Month)" level="1" rowHeight="234950"/>
  <slicer name="Date (Year)" xr10:uid="{D2544D3F-B5EB-4560-A2E3-1F17BC218C4B}"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93268FB-68EB-4567-83C9-E384AEDC0226}" cache="Slicer_Date__Month" caption="Date (Month)" showCaption="0" level="1" style=" 2" rowHeight="158400"/>
  <slicer name="Date (Year) 1" xr10:uid="{53E4417D-C11E-48D1-95B0-FE1E949BC2B4}" cache="Slicer_Date__Year" caption="Date (Year)" columnCount="2" showCaption="0" level="1"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7311E-D9CE-4FAF-AB72-E3CE9A7E5AA1}">
  <dimension ref="B2:T72"/>
  <sheetViews>
    <sheetView tabSelected="1" topLeftCell="A53" zoomScale="130" zoomScaleNormal="130" workbookViewId="0">
      <selection activeCell="F58" sqref="F58"/>
    </sheetView>
  </sheetViews>
  <sheetFormatPr defaultRowHeight="14.4" x14ac:dyDescent="0.3"/>
  <cols>
    <col min="2" max="2" width="15.33203125" customWidth="1"/>
    <col min="3" max="3" width="26.21875" customWidth="1"/>
    <col min="4" max="4" width="8.88671875" customWidth="1"/>
    <col min="5" max="5" width="15.5546875" customWidth="1"/>
    <col min="6" max="6" width="12.6640625" customWidth="1"/>
    <col min="7" max="7" width="26.77734375" customWidth="1"/>
    <col min="8" max="8" width="24.88671875" bestFit="1" customWidth="1"/>
    <col min="10" max="10" width="27.21875" bestFit="1" customWidth="1"/>
    <col min="11" max="11" width="26.44140625" bestFit="1" customWidth="1"/>
    <col min="16" max="16" width="11.109375" bestFit="1" customWidth="1"/>
    <col min="17" max="17" width="24.88671875" bestFit="1" customWidth="1"/>
  </cols>
  <sheetData>
    <row r="2" spans="2:20" x14ac:dyDescent="0.3">
      <c r="B2" t="s">
        <v>1</v>
      </c>
      <c r="D2" t="s">
        <v>7</v>
      </c>
      <c r="E2" s="6"/>
      <c r="G2" t="s">
        <v>8</v>
      </c>
      <c r="J2" t="s">
        <v>10</v>
      </c>
    </row>
    <row r="3" spans="2:20" x14ac:dyDescent="0.3">
      <c r="B3" t="s">
        <v>0</v>
      </c>
      <c r="D3" s="7" t="s">
        <v>4</v>
      </c>
      <c r="E3" s="6" t="s">
        <v>0</v>
      </c>
      <c r="G3" s="7" t="s">
        <v>4</v>
      </c>
      <c r="H3" s="6" t="s">
        <v>2</v>
      </c>
      <c r="J3" s="7" t="s">
        <v>4</v>
      </c>
      <c r="K3" s="6" t="s">
        <v>3</v>
      </c>
    </row>
    <row r="4" spans="2:20" x14ac:dyDescent="0.3">
      <c r="B4">
        <v>488</v>
      </c>
      <c r="D4" s="6" t="s">
        <v>46</v>
      </c>
      <c r="E4" s="6">
        <v>17</v>
      </c>
      <c r="G4" s="6" t="s">
        <v>46</v>
      </c>
      <c r="H4" s="8">
        <v>36.941176470588232</v>
      </c>
      <c r="J4" s="6" t="s">
        <v>46</v>
      </c>
      <c r="K4" s="8">
        <v>4.125</v>
      </c>
    </row>
    <row r="5" spans="2:20" x14ac:dyDescent="0.3">
      <c r="D5" s="6" t="s">
        <v>47</v>
      </c>
      <c r="E5" s="6">
        <v>19</v>
      </c>
      <c r="G5" s="6" t="s">
        <v>47</v>
      </c>
      <c r="H5" s="8">
        <v>30.842105263157894</v>
      </c>
      <c r="J5" s="6" t="s">
        <v>47</v>
      </c>
      <c r="K5" s="8">
        <v>5.333333333333333</v>
      </c>
      <c r="P5" s="3" t="s">
        <v>6</v>
      </c>
      <c r="Q5" t="s">
        <v>0</v>
      </c>
    </row>
    <row r="6" spans="2:20" x14ac:dyDescent="0.3">
      <c r="B6" t="s">
        <v>2</v>
      </c>
      <c r="D6" s="6" t="s">
        <v>48</v>
      </c>
      <c r="E6" s="6">
        <v>12</v>
      </c>
      <c r="G6" s="6" t="s">
        <v>48</v>
      </c>
      <c r="H6" s="8">
        <v>31.833333333333332</v>
      </c>
      <c r="J6" s="6" t="s">
        <v>48</v>
      </c>
      <c r="K6" s="8">
        <v>4.75</v>
      </c>
      <c r="P6" s="4" t="s">
        <v>46</v>
      </c>
      <c r="Q6">
        <v>17</v>
      </c>
      <c r="S6" s="3" t="s">
        <v>6</v>
      </c>
      <c r="T6" t="s">
        <v>0</v>
      </c>
    </row>
    <row r="7" spans="2:20" x14ac:dyDescent="0.3">
      <c r="B7" s="1">
        <v>35.19877049180328</v>
      </c>
      <c r="D7" s="6" t="s">
        <v>49</v>
      </c>
      <c r="E7" s="6">
        <v>9</v>
      </c>
      <c r="G7" s="6" t="s">
        <v>49</v>
      </c>
      <c r="H7" s="8">
        <v>33.777777777777779</v>
      </c>
      <c r="J7" s="6" t="s">
        <v>49</v>
      </c>
      <c r="K7" s="8">
        <v>2</v>
      </c>
      <c r="P7" s="4" t="s">
        <v>47</v>
      </c>
      <c r="Q7">
        <v>19</v>
      </c>
      <c r="S7" s="4" t="s">
        <v>46</v>
      </c>
      <c r="T7">
        <v>17</v>
      </c>
    </row>
    <row r="8" spans="2:20" x14ac:dyDescent="0.3">
      <c r="D8" s="6" t="s">
        <v>50</v>
      </c>
      <c r="E8" s="6">
        <v>15</v>
      </c>
      <c r="G8" s="6" t="s">
        <v>50</v>
      </c>
      <c r="H8" s="8">
        <v>30.466666666666665</v>
      </c>
      <c r="J8" s="6" t="s">
        <v>50</v>
      </c>
      <c r="K8" s="8">
        <v>8</v>
      </c>
      <c r="P8" s="4" t="s">
        <v>48</v>
      </c>
      <c r="Q8">
        <v>12</v>
      </c>
      <c r="S8" s="4" t="s">
        <v>47</v>
      </c>
      <c r="T8">
        <v>19</v>
      </c>
    </row>
    <row r="9" spans="2:20" x14ac:dyDescent="0.3">
      <c r="D9" s="6" t="s">
        <v>51</v>
      </c>
      <c r="E9" s="6">
        <v>10</v>
      </c>
      <c r="G9" s="6" t="s">
        <v>51</v>
      </c>
      <c r="H9" s="8">
        <v>38.799999999999997</v>
      </c>
      <c r="J9" s="6" t="s">
        <v>51</v>
      </c>
      <c r="K9" s="8">
        <v>3.5</v>
      </c>
      <c r="P9" s="4" t="s">
        <v>49</v>
      </c>
      <c r="Q9">
        <v>9</v>
      </c>
      <c r="S9" s="4" t="s">
        <v>48</v>
      </c>
      <c r="T9">
        <v>12</v>
      </c>
    </row>
    <row r="10" spans="2:20" x14ac:dyDescent="0.3">
      <c r="B10" t="s">
        <v>3</v>
      </c>
      <c r="D10" s="6" t="s">
        <v>52</v>
      </c>
      <c r="E10" s="6">
        <v>18</v>
      </c>
      <c r="G10" s="6" t="s">
        <v>52</v>
      </c>
      <c r="H10" s="8">
        <v>30.277777777777779</v>
      </c>
      <c r="J10" s="6" t="s">
        <v>52</v>
      </c>
      <c r="K10" s="8">
        <v>7</v>
      </c>
      <c r="P10" s="4" t="s">
        <v>50</v>
      </c>
      <c r="Q10">
        <v>15</v>
      </c>
      <c r="S10" s="4" t="s">
        <v>49</v>
      </c>
      <c r="T10">
        <v>9</v>
      </c>
    </row>
    <row r="11" spans="2:20" x14ac:dyDescent="0.3">
      <c r="B11" s="1">
        <v>4.7876712328767121</v>
      </c>
      <c r="D11" s="6" t="s">
        <v>53</v>
      </c>
      <c r="E11" s="6">
        <v>19</v>
      </c>
      <c r="G11" s="6" t="s">
        <v>53</v>
      </c>
      <c r="H11" s="8">
        <v>35.157894736842103</v>
      </c>
      <c r="J11" s="6" t="s">
        <v>53</v>
      </c>
      <c r="K11" s="8">
        <v>3.5</v>
      </c>
      <c r="P11" s="4" t="s">
        <v>51</v>
      </c>
      <c r="Q11">
        <v>10</v>
      </c>
      <c r="S11" s="4" t="s">
        <v>50</v>
      </c>
      <c r="T11">
        <v>15</v>
      </c>
    </row>
    <row r="12" spans="2:20" x14ac:dyDescent="0.3">
      <c r="D12" s="6" t="s">
        <v>54</v>
      </c>
      <c r="E12" s="6">
        <v>19</v>
      </c>
      <c r="G12" s="6" t="s">
        <v>54</v>
      </c>
      <c r="H12" s="8">
        <v>37.94736842105263</v>
      </c>
      <c r="J12" s="6" t="s">
        <v>54</v>
      </c>
      <c r="K12" s="8">
        <v>6.4</v>
      </c>
      <c r="P12" s="4" t="s">
        <v>52</v>
      </c>
      <c r="Q12">
        <v>18</v>
      </c>
      <c r="S12" s="4" t="s">
        <v>51</v>
      </c>
      <c r="T12">
        <v>10</v>
      </c>
    </row>
    <row r="13" spans="2:20" x14ac:dyDescent="0.3">
      <c r="D13" s="6" t="s">
        <v>55</v>
      </c>
      <c r="E13" s="6">
        <v>13</v>
      </c>
      <c r="G13" s="6" t="s">
        <v>55</v>
      </c>
      <c r="H13" s="8">
        <v>33.92307692307692</v>
      </c>
      <c r="J13" s="6" t="s">
        <v>55</v>
      </c>
      <c r="K13" s="8">
        <v>3.5</v>
      </c>
      <c r="P13" s="4" t="s">
        <v>53</v>
      </c>
      <c r="Q13">
        <v>19</v>
      </c>
      <c r="S13" s="4" t="s">
        <v>52</v>
      </c>
      <c r="T13">
        <v>18</v>
      </c>
    </row>
    <row r="14" spans="2:20" x14ac:dyDescent="0.3">
      <c r="D14" s="6" t="s">
        <v>56</v>
      </c>
      <c r="E14" s="6">
        <v>15</v>
      </c>
      <c r="G14" s="6" t="s">
        <v>56</v>
      </c>
      <c r="H14" s="8">
        <v>33.200000000000003</v>
      </c>
      <c r="J14" s="6" t="s">
        <v>56</v>
      </c>
      <c r="K14" s="8">
        <v>6.5</v>
      </c>
      <c r="P14" s="4" t="s">
        <v>54</v>
      </c>
      <c r="Q14">
        <v>19</v>
      </c>
      <c r="S14" s="4" t="s">
        <v>53</v>
      </c>
      <c r="T14">
        <v>19</v>
      </c>
    </row>
    <row r="15" spans="2:20" x14ac:dyDescent="0.3">
      <c r="D15" s="6" t="s">
        <v>57</v>
      </c>
      <c r="E15" s="6">
        <v>25</v>
      </c>
      <c r="G15" s="6" t="s">
        <v>57</v>
      </c>
      <c r="H15" s="8">
        <v>40.159999999999997</v>
      </c>
      <c r="J15" s="6" t="s">
        <v>57</v>
      </c>
      <c r="K15" s="8">
        <v>5.2857142857142856</v>
      </c>
      <c r="P15" s="4" t="s">
        <v>55</v>
      </c>
      <c r="Q15">
        <v>13</v>
      </c>
      <c r="S15" s="4" t="s">
        <v>54</v>
      </c>
      <c r="T15">
        <v>19</v>
      </c>
    </row>
    <row r="16" spans="2:20" x14ac:dyDescent="0.3">
      <c r="D16" s="6" t="s">
        <v>58</v>
      </c>
      <c r="E16" s="6">
        <v>19</v>
      </c>
      <c r="G16" s="6" t="s">
        <v>58</v>
      </c>
      <c r="H16" s="8">
        <v>41.578947368421055</v>
      </c>
      <c r="J16" s="6" t="s">
        <v>58</v>
      </c>
      <c r="K16" s="8">
        <v>4.333333333333333</v>
      </c>
      <c r="P16" s="4" t="s">
        <v>56</v>
      </c>
      <c r="Q16">
        <v>15</v>
      </c>
      <c r="S16" s="4" t="s">
        <v>55</v>
      </c>
      <c r="T16">
        <v>13</v>
      </c>
    </row>
    <row r="17" spans="4:20" x14ac:dyDescent="0.3">
      <c r="D17" s="6" t="s">
        <v>59</v>
      </c>
      <c r="E17" s="6">
        <v>15</v>
      </c>
      <c r="G17" s="6" t="s">
        <v>59</v>
      </c>
      <c r="H17" s="8">
        <v>36.866666666666667</v>
      </c>
      <c r="J17" s="6" t="s">
        <v>59</v>
      </c>
      <c r="K17" s="8">
        <v>3</v>
      </c>
      <c r="P17" s="4" t="s">
        <v>57</v>
      </c>
      <c r="Q17">
        <v>25</v>
      </c>
      <c r="S17" s="4" t="s">
        <v>56</v>
      </c>
      <c r="T17">
        <v>15</v>
      </c>
    </row>
    <row r="18" spans="4:20" x14ac:dyDescent="0.3">
      <c r="D18" s="6" t="s">
        <v>60</v>
      </c>
      <c r="E18" s="6">
        <v>14</v>
      </c>
      <c r="G18" s="6" t="s">
        <v>60</v>
      </c>
      <c r="H18" s="8">
        <v>33.714285714285715</v>
      </c>
      <c r="J18" s="6" t="s">
        <v>60</v>
      </c>
      <c r="K18" s="8">
        <v>4.333333333333333</v>
      </c>
      <c r="P18" s="4" t="s">
        <v>58</v>
      </c>
      <c r="Q18">
        <v>19</v>
      </c>
      <c r="S18" s="4" t="s">
        <v>57</v>
      </c>
      <c r="T18">
        <v>25</v>
      </c>
    </row>
    <row r="19" spans="4:20" x14ac:dyDescent="0.3">
      <c r="D19" s="6" t="s">
        <v>61</v>
      </c>
      <c r="E19" s="6">
        <v>20</v>
      </c>
      <c r="G19" s="6" t="s">
        <v>61</v>
      </c>
      <c r="H19" s="8">
        <v>33.700000000000003</v>
      </c>
      <c r="J19" s="6" t="s">
        <v>61</v>
      </c>
      <c r="K19" s="8">
        <v>3.3333333333333335</v>
      </c>
      <c r="P19" s="4" t="s">
        <v>59</v>
      </c>
      <c r="Q19">
        <v>15</v>
      </c>
      <c r="S19" s="4" t="s">
        <v>58</v>
      </c>
      <c r="T19">
        <v>19</v>
      </c>
    </row>
    <row r="20" spans="4:20" x14ac:dyDescent="0.3">
      <c r="D20" s="6" t="s">
        <v>62</v>
      </c>
      <c r="E20" s="6">
        <v>14</v>
      </c>
      <c r="G20" s="6" t="s">
        <v>62</v>
      </c>
      <c r="H20" s="8">
        <v>34.642857142857146</v>
      </c>
      <c r="J20" s="6" t="s">
        <v>62</v>
      </c>
      <c r="K20" s="8">
        <v>2.5714285714285716</v>
      </c>
      <c r="P20" s="4" t="s">
        <v>60</v>
      </c>
      <c r="Q20">
        <v>14</v>
      </c>
      <c r="S20" s="4" t="s">
        <v>59</v>
      </c>
      <c r="T20">
        <v>15</v>
      </c>
    </row>
    <row r="21" spans="4:20" x14ac:dyDescent="0.3">
      <c r="D21" s="6" t="s">
        <v>63</v>
      </c>
      <c r="E21" s="6">
        <v>14</v>
      </c>
      <c r="G21" s="6" t="s">
        <v>63</v>
      </c>
      <c r="H21" s="8">
        <v>36.5</v>
      </c>
      <c r="J21" s="6" t="s">
        <v>63</v>
      </c>
      <c r="K21" s="8">
        <v>3.75</v>
      </c>
      <c r="P21" s="4" t="s">
        <v>61</v>
      </c>
      <c r="Q21">
        <v>20</v>
      </c>
      <c r="S21" s="4" t="s">
        <v>60</v>
      </c>
      <c r="T21">
        <v>14</v>
      </c>
    </row>
    <row r="22" spans="4:20" x14ac:dyDescent="0.3">
      <c r="D22" s="6" t="s">
        <v>64</v>
      </c>
      <c r="E22" s="6">
        <v>17</v>
      </c>
      <c r="G22" s="6" t="s">
        <v>64</v>
      </c>
      <c r="H22" s="8">
        <v>33.058823529411768</v>
      </c>
      <c r="J22" s="6" t="s">
        <v>64</v>
      </c>
      <c r="K22" s="8">
        <v>8.3333333333333339</v>
      </c>
      <c r="P22" s="4" t="s">
        <v>62</v>
      </c>
      <c r="Q22">
        <v>14</v>
      </c>
      <c r="S22" s="4" t="s">
        <v>61</v>
      </c>
      <c r="T22">
        <v>20</v>
      </c>
    </row>
    <row r="23" spans="4:20" x14ac:dyDescent="0.3">
      <c r="D23" s="6" t="s">
        <v>65</v>
      </c>
      <c r="E23" s="6">
        <v>16</v>
      </c>
      <c r="G23" s="6" t="s">
        <v>65</v>
      </c>
      <c r="H23" s="8">
        <v>33.5625</v>
      </c>
      <c r="J23" s="6" t="s">
        <v>65</v>
      </c>
      <c r="K23" s="8">
        <v>3.75</v>
      </c>
      <c r="P23" s="4" t="s">
        <v>63</v>
      </c>
      <c r="Q23">
        <v>14</v>
      </c>
      <c r="S23" s="4" t="s">
        <v>62</v>
      </c>
      <c r="T23">
        <v>14</v>
      </c>
    </row>
    <row r="24" spans="4:20" x14ac:dyDescent="0.3">
      <c r="D24" s="6" t="s">
        <v>66</v>
      </c>
      <c r="E24" s="6">
        <v>18</v>
      </c>
      <c r="G24" s="6" t="s">
        <v>66</v>
      </c>
      <c r="H24" s="8">
        <v>31.555555555555557</v>
      </c>
      <c r="J24" s="6" t="s">
        <v>66</v>
      </c>
      <c r="K24" s="8">
        <v>4.666666666666667</v>
      </c>
      <c r="P24" s="4" t="s">
        <v>64</v>
      </c>
      <c r="Q24">
        <v>17</v>
      </c>
      <c r="S24" s="4" t="s">
        <v>63</v>
      </c>
      <c r="T24">
        <v>14</v>
      </c>
    </row>
    <row r="25" spans="4:20" x14ac:dyDescent="0.3">
      <c r="D25" s="6" t="s">
        <v>67</v>
      </c>
      <c r="E25" s="6">
        <v>8</v>
      </c>
      <c r="G25" s="6" t="s">
        <v>67</v>
      </c>
      <c r="H25" s="8">
        <v>38.375</v>
      </c>
      <c r="J25" s="6" t="s">
        <v>67</v>
      </c>
      <c r="K25" s="8">
        <v>5</v>
      </c>
      <c r="P25" s="4" t="s">
        <v>65</v>
      </c>
      <c r="Q25">
        <v>16</v>
      </c>
      <c r="S25" s="4" t="s">
        <v>64</v>
      </c>
      <c r="T25">
        <v>17</v>
      </c>
    </row>
    <row r="26" spans="4:20" x14ac:dyDescent="0.3">
      <c r="D26" s="6" t="s">
        <v>68</v>
      </c>
      <c r="E26" s="6">
        <v>17</v>
      </c>
      <c r="G26" s="6" t="s">
        <v>68</v>
      </c>
      <c r="H26" s="8">
        <v>35.411764705882355</v>
      </c>
      <c r="J26" s="6" t="s">
        <v>68</v>
      </c>
      <c r="K26" s="8">
        <v>4.333333333333333</v>
      </c>
      <c r="P26" s="4" t="s">
        <v>66</v>
      </c>
      <c r="Q26">
        <v>18</v>
      </c>
      <c r="S26" s="4" t="s">
        <v>65</v>
      </c>
      <c r="T26">
        <v>16</v>
      </c>
    </row>
    <row r="27" spans="4:20" x14ac:dyDescent="0.3">
      <c r="D27" s="6" t="s">
        <v>69</v>
      </c>
      <c r="E27" s="6">
        <v>11</v>
      </c>
      <c r="G27" s="6" t="s">
        <v>69</v>
      </c>
      <c r="H27" s="8">
        <v>34.909090909090907</v>
      </c>
      <c r="J27" s="6" t="s">
        <v>69</v>
      </c>
      <c r="K27" s="8">
        <v>4.666666666666667</v>
      </c>
      <c r="P27" s="4" t="s">
        <v>67</v>
      </c>
      <c r="Q27">
        <v>8</v>
      </c>
      <c r="S27" s="4" t="s">
        <v>66</v>
      </c>
      <c r="T27">
        <v>18</v>
      </c>
    </row>
    <row r="28" spans="4:20" x14ac:dyDescent="0.3">
      <c r="D28" s="6" t="s">
        <v>70</v>
      </c>
      <c r="E28" s="6">
        <v>15</v>
      </c>
      <c r="G28" s="6" t="s">
        <v>70</v>
      </c>
      <c r="H28" s="8">
        <v>35.133333333333333</v>
      </c>
      <c r="J28" s="6" t="s">
        <v>70</v>
      </c>
      <c r="K28" s="8">
        <v>4.5</v>
      </c>
      <c r="P28" s="4" t="s">
        <v>68</v>
      </c>
      <c r="Q28">
        <v>17</v>
      </c>
      <c r="S28" s="4" t="s">
        <v>67</v>
      </c>
      <c r="T28">
        <v>8</v>
      </c>
    </row>
    <row r="29" spans="4:20" x14ac:dyDescent="0.3">
      <c r="D29" s="6" t="s">
        <v>71</v>
      </c>
      <c r="E29" s="6">
        <v>13</v>
      </c>
      <c r="G29" s="6" t="s">
        <v>71</v>
      </c>
      <c r="H29" s="8">
        <v>35.07692307692308</v>
      </c>
      <c r="J29" s="6" t="s">
        <v>71</v>
      </c>
      <c r="K29" s="8">
        <v>6</v>
      </c>
      <c r="P29" s="4" t="s">
        <v>69</v>
      </c>
      <c r="Q29">
        <v>11</v>
      </c>
      <c r="S29" s="4" t="s">
        <v>68</v>
      </c>
      <c r="T29">
        <v>17</v>
      </c>
    </row>
    <row r="30" spans="4:20" x14ac:dyDescent="0.3">
      <c r="D30" s="6" t="s">
        <v>72</v>
      </c>
      <c r="E30" s="6">
        <v>17</v>
      </c>
      <c r="G30" s="6" t="s">
        <v>72</v>
      </c>
      <c r="H30" s="8">
        <v>35.352941176470587</v>
      </c>
      <c r="J30" s="6" t="s">
        <v>72</v>
      </c>
      <c r="K30" s="8">
        <v>6.8888888888888893</v>
      </c>
      <c r="P30" s="4" t="s">
        <v>70</v>
      </c>
      <c r="Q30">
        <v>15</v>
      </c>
      <c r="S30" s="4" t="s">
        <v>69</v>
      </c>
      <c r="T30">
        <v>11</v>
      </c>
    </row>
    <row r="31" spans="4:20" x14ac:dyDescent="0.3">
      <c r="D31" s="6" t="s">
        <v>73</v>
      </c>
      <c r="E31" s="6">
        <v>20</v>
      </c>
      <c r="G31" s="6" t="s">
        <v>73</v>
      </c>
      <c r="H31" s="8">
        <v>36.6</v>
      </c>
      <c r="J31" s="6" t="s">
        <v>73</v>
      </c>
      <c r="K31" s="8">
        <v>6.5714285714285712</v>
      </c>
      <c r="P31" s="4" t="s">
        <v>71</v>
      </c>
      <c r="Q31">
        <v>13</v>
      </c>
      <c r="S31" s="4" t="s">
        <v>70</v>
      </c>
      <c r="T31">
        <v>15</v>
      </c>
    </row>
    <row r="32" spans="4:20" x14ac:dyDescent="0.3">
      <c r="D32" s="6" t="s">
        <v>74</v>
      </c>
      <c r="E32" s="6">
        <v>20</v>
      </c>
      <c r="G32" s="6" t="s">
        <v>74</v>
      </c>
      <c r="H32" s="8">
        <v>35.799999999999997</v>
      </c>
      <c r="J32" s="6" t="s">
        <v>74</v>
      </c>
      <c r="K32" s="8">
        <v>4.0999999999999996</v>
      </c>
      <c r="P32" s="4" t="s">
        <v>72</v>
      </c>
      <c r="Q32">
        <v>17</v>
      </c>
      <c r="S32" s="4" t="s">
        <v>71</v>
      </c>
      <c r="T32">
        <v>13</v>
      </c>
    </row>
    <row r="33" spans="2:20" x14ac:dyDescent="0.3">
      <c r="D33" s="6" t="s">
        <v>75</v>
      </c>
      <c r="E33" s="6">
        <v>13</v>
      </c>
      <c r="G33" s="6" t="s">
        <v>75</v>
      </c>
      <c r="H33" s="8">
        <v>30.307692307692307</v>
      </c>
      <c r="J33" s="6" t="s">
        <v>75</v>
      </c>
      <c r="K33" s="8">
        <v>5</v>
      </c>
      <c r="P33" s="4" t="s">
        <v>73</v>
      </c>
      <c r="Q33">
        <v>20</v>
      </c>
      <c r="S33" s="4" t="s">
        <v>72</v>
      </c>
      <c r="T33">
        <v>17</v>
      </c>
    </row>
    <row r="34" spans="2:20" x14ac:dyDescent="0.3">
      <c r="D34" s="6" t="s">
        <v>76</v>
      </c>
      <c r="E34" s="6">
        <v>16</v>
      </c>
      <c r="G34" s="6" t="s">
        <v>76</v>
      </c>
      <c r="H34" s="8">
        <v>42.75</v>
      </c>
      <c r="J34" s="6" t="s">
        <v>76</v>
      </c>
      <c r="K34" s="8">
        <v>5.4</v>
      </c>
      <c r="P34" s="4" t="s">
        <v>74</v>
      </c>
      <c r="Q34">
        <v>20</v>
      </c>
      <c r="S34" s="4" t="s">
        <v>73</v>
      </c>
      <c r="T34">
        <v>20</v>
      </c>
    </row>
    <row r="35" spans="2:20" x14ac:dyDescent="0.3">
      <c r="D35" s="6" t="s">
        <v>5</v>
      </c>
      <c r="E35" s="6">
        <v>488</v>
      </c>
      <c r="G35" s="6" t="s">
        <v>5</v>
      </c>
      <c r="H35" s="8">
        <v>35.19877049180328</v>
      </c>
      <c r="J35" s="6" t="s">
        <v>5</v>
      </c>
      <c r="K35" s="8">
        <v>4.7876712328767121</v>
      </c>
      <c r="P35" s="4" t="s">
        <v>75</v>
      </c>
      <c r="Q35">
        <v>13</v>
      </c>
      <c r="S35" s="4" t="s">
        <v>74</v>
      </c>
      <c r="T35">
        <v>20</v>
      </c>
    </row>
    <row r="36" spans="2:20" x14ac:dyDescent="0.3">
      <c r="D36" s="6"/>
      <c r="P36" s="4" t="s">
        <v>76</v>
      </c>
      <c r="Q36">
        <v>16</v>
      </c>
      <c r="S36" s="4" t="s">
        <v>75</v>
      </c>
      <c r="T36">
        <v>13</v>
      </c>
    </row>
    <row r="37" spans="2:20" x14ac:dyDescent="0.3">
      <c r="B37" s="3" t="s">
        <v>4</v>
      </c>
      <c r="C37" t="s">
        <v>13</v>
      </c>
      <c r="D37" t="s">
        <v>14</v>
      </c>
      <c r="P37" s="4" t="s">
        <v>5</v>
      </c>
      <c r="Q37">
        <v>488</v>
      </c>
      <c r="S37" s="4" t="s">
        <v>76</v>
      </c>
      <c r="T37">
        <v>16</v>
      </c>
    </row>
    <row r="38" spans="2:20" x14ac:dyDescent="0.3">
      <c r="B38" s="4" t="s">
        <v>11</v>
      </c>
      <c r="C38" s="1">
        <v>266</v>
      </c>
      <c r="D38" s="11">
        <v>0.54508196721311475</v>
      </c>
      <c r="S38" s="4" t="s">
        <v>5</v>
      </c>
      <c r="T38">
        <v>488</v>
      </c>
    </row>
    <row r="39" spans="2:20" x14ac:dyDescent="0.3">
      <c r="B39" s="4" t="s">
        <v>12</v>
      </c>
      <c r="C39" s="1">
        <v>222</v>
      </c>
      <c r="D39" s="11">
        <v>0.45491803278688525</v>
      </c>
      <c r="E39" s="9"/>
    </row>
    <row r="40" spans="2:20" x14ac:dyDescent="0.3">
      <c r="B40" s="4" t="s">
        <v>5</v>
      </c>
      <c r="C40" s="1">
        <v>488</v>
      </c>
      <c r="D40" s="11">
        <v>1</v>
      </c>
      <c r="E40" s="10"/>
    </row>
    <row r="43" spans="2:20" x14ac:dyDescent="0.3">
      <c r="B43" s="15" t="s">
        <v>15</v>
      </c>
      <c r="C43" s="15" t="s">
        <v>16</v>
      </c>
      <c r="D43" s="15" t="s">
        <v>17</v>
      </c>
      <c r="E43" s="16"/>
    </row>
    <row r="44" spans="2:20" x14ac:dyDescent="0.3">
      <c r="B44" s="13" t="str">
        <f>B39</f>
        <v>Not Admitted</v>
      </c>
      <c r="C44" s="13">
        <f t="shared" ref="C44:D44" si="0">C39</f>
        <v>222</v>
      </c>
      <c r="D44" s="14">
        <f t="shared" si="0"/>
        <v>0.45491803278688525</v>
      </c>
      <c r="E44" s="12"/>
    </row>
    <row r="45" spans="2:20" x14ac:dyDescent="0.3">
      <c r="B45" s="13" t="str">
        <f>B38</f>
        <v>Admitted</v>
      </c>
      <c r="C45" s="13">
        <f t="shared" ref="C45:D45" si="1">C38</f>
        <v>266</v>
      </c>
      <c r="D45" s="14">
        <f t="shared" si="1"/>
        <v>0.54508196721311475</v>
      </c>
      <c r="E45" s="12"/>
    </row>
    <row r="47" spans="2:20" ht="18" x14ac:dyDescent="0.35">
      <c r="B47" t="s">
        <v>27</v>
      </c>
      <c r="F47" s="17" t="s">
        <v>31</v>
      </c>
    </row>
    <row r="48" spans="2:20" x14ac:dyDescent="0.3">
      <c r="B48" s="3" t="s">
        <v>4</v>
      </c>
      <c r="C48" t="s">
        <v>18</v>
      </c>
      <c r="F48" s="3" t="s">
        <v>4</v>
      </c>
      <c r="G48" t="s">
        <v>28</v>
      </c>
    </row>
    <row r="49" spans="2:7" x14ac:dyDescent="0.3">
      <c r="B49" s="4" t="s">
        <v>19</v>
      </c>
      <c r="C49" s="18">
        <v>62</v>
      </c>
      <c r="F49" s="4" t="s">
        <v>30</v>
      </c>
      <c r="G49" s="18">
        <v>288</v>
      </c>
    </row>
    <row r="50" spans="2:7" x14ac:dyDescent="0.3">
      <c r="B50" s="4" t="s">
        <v>20</v>
      </c>
      <c r="C50" s="18">
        <v>73</v>
      </c>
      <c r="E50" s="9"/>
      <c r="F50" s="4" t="s">
        <v>29</v>
      </c>
      <c r="G50" s="18">
        <v>200</v>
      </c>
    </row>
    <row r="51" spans="2:7" x14ac:dyDescent="0.3">
      <c r="B51" s="4" t="s">
        <v>21</v>
      </c>
      <c r="C51" s="18">
        <v>49</v>
      </c>
      <c r="E51" s="10"/>
      <c r="F51" s="4" t="s">
        <v>5</v>
      </c>
      <c r="G51" s="18">
        <v>488</v>
      </c>
    </row>
    <row r="52" spans="2:7" x14ac:dyDescent="0.3">
      <c r="B52" s="4" t="s">
        <v>22</v>
      </c>
      <c r="C52" s="18">
        <v>44</v>
      </c>
    </row>
    <row r="53" spans="2:7" x14ac:dyDescent="0.3">
      <c r="B53" s="4" t="s">
        <v>23</v>
      </c>
      <c r="C53" s="18">
        <v>72</v>
      </c>
      <c r="D53" t="s">
        <v>6</v>
      </c>
    </row>
    <row r="54" spans="2:7" x14ac:dyDescent="0.3">
      <c r="B54" s="4" t="s">
        <v>24</v>
      </c>
      <c r="C54" s="18">
        <v>71</v>
      </c>
    </row>
    <row r="55" spans="2:7" x14ac:dyDescent="0.3">
      <c r="B55" s="4" t="s">
        <v>25</v>
      </c>
      <c r="C55" s="18">
        <v>59</v>
      </c>
    </row>
    <row r="56" spans="2:7" x14ac:dyDescent="0.3">
      <c r="B56" s="4" t="s">
        <v>26</v>
      </c>
      <c r="C56" s="18">
        <v>58</v>
      </c>
      <c r="F56" t="s">
        <v>35</v>
      </c>
    </row>
    <row r="57" spans="2:7" x14ac:dyDescent="0.3">
      <c r="B57" s="4" t="s">
        <v>5</v>
      </c>
      <c r="C57" s="18">
        <v>488</v>
      </c>
      <c r="F57" s="3" t="s">
        <v>4</v>
      </c>
      <c r="G57" t="s">
        <v>32</v>
      </c>
    </row>
    <row r="58" spans="2:7" x14ac:dyDescent="0.3">
      <c r="F58" s="4" t="s">
        <v>33</v>
      </c>
      <c r="G58" s="18">
        <v>232</v>
      </c>
    </row>
    <row r="59" spans="2:7" x14ac:dyDescent="0.3">
      <c r="F59" s="4" t="s">
        <v>34</v>
      </c>
      <c r="G59" s="18">
        <v>256</v>
      </c>
    </row>
    <row r="60" spans="2:7" x14ac:dyDescent="0.3">
      <c r="F60" s="4" t="s">
        <v>5</v>
      </c>
      <c r="G60" s="18">
        <v>488</v>
      </c>
    </row>
    <row r="63" spans="2:7" x14ac:dyDescent="0.3">
      <c r="B63" s="3" t="s">
        <v>4</v>
      </c>
      <c r="C63" t="s">
        <v>44</v>
      </c>
      <c r="E63" s="3" t="s">
        <v>4</v>
      </c>
    </row>
    <row r="64" spans="2:7" x14ac:dyDescent="0.3">
      <c r="B64" s="4" t="s">
        <v>43</v>
      </c>
      <c r="C64" s="18">
        <v>4</v>
      </c>
      <c r="E64" s="4" t="s">
        <v>45</v>
      </c>
    </row>
    <row r="65" spans="2:5" x14ac:dyDescent="0.3">
      <c r="B65" s="4" t="s">
        <v>39</v>
      </c>
      <c r="C65" s="18">
        <v>7</v>
      </c>
      <c r="E65" s="4" t="s">
        <v>5</v>
      </c>
    </row>
    <row r="66" spans="2:5" x14ac:dyDescent="0.3">
      <c r="B66" s="4" t="s">
        <v>36</v>
      </c>
      <c r="C66" s="18">
        <v>11</v>
      </c>
    </row>
    <row r="67" spans="2:5" x14ac:dyDescent="0.3">
      <c r="B67" s="4" t="s">
        <v>37</v>
      </c>
      <c r="C67" s="18">
        <v>11</v>
      </c>
    </row>
    <row r="68" spans="2:5" x14ac:dyDescent="0.3">
      <c r="B68" s="4" t="s">
        <v>42</v>
      </c>
      <c r="C68" s="18">
        <v>12</v>
      </c>
    </row>
    <row r="69" spans="2:5" x14ac:dyDescent="0.3">
      <c r="B69" s="4" t="s">
        <v>41</v>
      </c>
      <c r="C69" s="18">
        <v>60</v>
      </c>
    </row>
    <row r="70" spans="2:5" x14ac:dyDescent="0.3">
      <c r="B70" s="4" t="s">
        <v>38</v>
      </c>
      <c r="C70" s="18">
        <v>93</v>
      </c>
    </row>
    <row r="71" spans="2:5" x14ac:dyDescent="0.3">
      <c r="B71" s="4" t="s">
        <v>40</v>
      </c>
      <c r="C71" s="18">
        <v>290</v>
      </c>
    </row>
    <row r="72" spans="2:5" x14ac:dyDescent="0.3">
      <c r="B72" s="4" t="s">
        <v>5</v>
      </c>
      <c r="C72" s="18">
        <v>488</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6975-2C60-42BE-B46D-F25E46908FE0}">
  <dimension ref="A1:R17"/>
  <sheetViews>
    <sheetView zoomScale="175" zoomScaleNormal="175" workbookViewId="0">
      <selection activeCell="O15" sqref="O15"/>
    </sheetView>
  </sheetViews>
  <sheetFormatPr defaultRowHeight="14.4" x14ac:dyDescent="0.3"/>
  <cols>
    <col min="1" max="1" width="8.88671875" customWidth="1"/>
    <col min="4" max="4" width="15.5546875" customWidth="1"/>
    <col min="6" max="6" width="10.88671875" customWidth="1"/>
    <col min="7" max="7" width="9.6640625" customWidth="1"/>
    <col min="9" max="9" width="8.109375" customWidth="1"/>
  </cols>
  <sheetData>
    <row r="1" spans="1:18" x14ac:dyDescent="0.3">
      <c r="A1" s="2"/>
      <c r="B1" s="2"/>
      <c r="C1" s="2"/>
      <c r="D1" s="2"/>
      <c r="E1" s="2"/>
      <c r="F1" s="2"/>
      <c r="G1" s="2"/>
      <c r="H1" s="2"/>
      <c r="I1" s="2"/>
      <c r="J1" s="2"/>
      <c r="K1" s="2"/>
      <c r="L1" s="2"/>
      <c r="M1" s="2"/>
    </row>
    <row r="2" spans="1:18" x14ac:dyDescent="0.3">
      <c r="A2" s="2"/>
      <c r="B2" s="2"/>
      <c r="C2" s="2"/>
      <c r="D2" s="2"/>
      <c r="E2" s="2"/>
      <c r="F2" s="2"/>
      <c r="G2" s="2"/>
      <c r="H2" s="2"/>
      <c r="I2" s="2"/>
      <c r="J2" s="2"/>
      <c r="K2" s="2"/>
      <c r="L2" s="2"/>
      <c r="M2" s="2"/>
    </row>
    <row r="3" spans="1:18" x14ac:dyDescent="0.3">
      <c r="A3" s="2"/>
      <c r="B3" s="2"/>
      <c r="C3" s="2"/>
      <c r="D3" s="2"/>
      <c r="E3" s="2"/>
      <c r="F3" s="2"/>
      <c r="G3" s="2"/>
      <c r="H3" s="2"/>
      <c r="I3" s="2"/>
      <c r="J3" s="2"/>
      <c r="K3" s="2"/>
      <c r="L3" s="2"/>
      <c r="M3" s="2"/>
    </row>
    <row r="4" spans="1:18" x14ac:dyDescent="0.3">
      <c r="A4" s="2"/>
      <c r="B4" s="2"/>
      <c r="C4" s="2"/>
      <c r="D4" s="2"/>
      <c r="E4" s="2"/>
      <c r="F4" s="2"/>
      <c r="G4" s="2"/>
      <c r="H4" s="2"/>
      <c r="I4" s="2"/>
      <c r="J4" s="2"/>
      <c r="K4" s="2"/>
      <c r="L4" s="2"/>
      <c r="M4" s="2"/>
    </row>
    <row r="5" spans="1:18" x14ac:dyDescent="0.3">
      <c r="A5" s="2"/>
      <c r="B5" s="2"/>
      <c r="C5" s="2"/>
      <c r="D5" s="2"/>
      <c r="E5" s="2"/>
      <c r="F5" s="2"/>
      <c r="G5" s="2"/>
      <c r="H5" s="2"/>
      <c r="I5" s="2"/>
      <c r="J5" s="2"/>
      <c r="K5" s="2"/>
      <c r="L5" s="2"/>
      <c r="M5" s="2"/>
      <c r="R5" s="6"/>
    </row>
    <row r="6" spans="1:18" x14ac:dyDescent="0.3">
      <c r="A6" s="2"/>
      <c r="B6" s="2"/>
      <c r="C6" s="2"/>
      <c r="D6" s="2"/>
      <c r="E6" s="2"/>
      <c r="F6" s="2"/>
      <c r="G6" s="2"/>
      <c r="H6" s="2"/>
      <c r="I6" s="2"/>
      <c r="J6" s="2"/>
      <c r="K6" s="2"/>
      <c r="L6" s="2"/>
      <c r="M6" s="2"/>
    </row>
    <row r="7" spans="1:18" x14ac:dyDescent="0.3">
      <c r="A7" s="2"/>
      <c r="B7" s="2"/>
      <c r="C7" s="2"/>
      <c r="D7" s="2"/>
      <c r="E7" s="2"/>
      <c r="F7" s="2"/>
      <c r="G7" s="2"/>
      <c r="H7" s="2"/>
      <c r="I7" s="2"/>
      <c r="J7" s="2"/>
      <c r="K7" s="2"/>
      <c r="L7" s="2"/>
      <c r="M7" s="2"/>
    </row>
    <row r="8" spans="1:18" x14ac:dyDescent="0.3">
      <c r="A8" s="2"/>
      <c r="B8" s="2"/>
      <c r="C8" s="2"/>
      <c r="D8" s="2"/>
      <c r="E8" s="2"/>
      <c r="F8" s="2"/>
      <c r="G8" s="2"/>
      <c r="H8" s="2"/>
      <c r="I8" s="2"/>
      <c r="J8" s="2"/>
      <c r="K8" s="2"/>
      <c r="L8" s="2"/>
      <c r="M8" s="2"/>
    </row>
    <row r="9" spans="1:18" x14ac:dyDescent="0.3">
      <c r="A9" s="2"/>
      <c r="B9" s="2"/>
      <c r="C9" s="2"/>
      <c r="D9" s="2"/>
      <c r="E9" s="2"/>
      <c r="F9" s="2"/>
      <c r="G9" s="2"/>
      <c r="H9" s="2"/>
      <c r="I9" s="2"/>
      <c r="J9" s="2"/>
      <c r="K9" s="2"/>
      <c r="L9" s="2"/>
      <c r="M9" s="2"/>
    </row>
    <row r="10" spans="1:18" x14ac:dyDescent="0.3">
      <c r="A10" s="2"/>
      <c r="B10" s="2"/>
      <c r="C10" s="2"/>
      <c r="D10" s="2"/>
      <c r="E10" s="2"/>
      <c r="F10" s="2"/>
      <c r="G10" s="2"/>
      <c r="H10" s="2"/>
      <c r="I10" s="2"/>
      <c r="J10" s="2"/>
      <c r="K10" s="2"/>
      <c r="L10" s="2"/>
      <c r="M10" s="2"/>
    </row>
    <row r="11" spans="1:18" x14ac:dyDescent="0.3">
      <c r="A11" s="2"/>
      <c r="B11" s="2"/>
      <c r="C11" s="2"/>
      <c r="D11" s="2"/>
      <c r="E11" s="2"/>
      <c r="F11" s="2"/>
      <c r="G11" s="2"/>
      <c r="H11" s="2"/>
      <c r="I11" s="2"/>
      <c r="J11" s="2"/>
      <c r="K11" s="2"/>
      <c r="L11" s="2"/>
      <c r="M11" s="2"/>
      <c r="O11" s="19"/>
    </row>
    <row r="12" spans="1:18" x14ac:dyDescent="0.3">
      <c r="A12" s="2"/>
      <c r="B12" s="2"/>
      <c r="C12" s="2"/>
      <c r="D12" s="2"/>
      <c r="E12" s="2"/>
      <c r="F12" s="2"/>
      <c r="G12" s="2"/>
      <c r="H12" s="2"/>
      <c r="I12" s="2"/>
      <c r="J12" s="2"/>
      <c r="K12" s="2"/>
      <c r="L12" s="2"/>
      <c r="M12" s="2"/>
      <c r="O12" s="20"/>
    </row>
    <row r="13" spans="1:18" x14ac:dyDescent="0.3">
      <c r="A13" s="2"/>
      <c r="B13" s="2"/>
      <c r="C13" s="2"/>
      <c r="D13" s="2"/>
      <c r="E13" s="2"/>
      <c r="F13" s="2"/>
      <c r="G13" s="2"/>
      <c r="H13" s="2"/>
      <c r="I13" s="2"/>
      <c r="J13" s="2"/>
      <c r="K13" s="2"/>
      <c r="L13" s="2"/>
      <c r="M13" s="2"/>
      <c r="O13" s="20"/>
    </row>
    <row r="14" spans="1:18" x14ac:dyDescent="0.3">
      <c r="A14" s="2"/>
      <c r="B14" s="2"/>
      <c r="C14" s="2"/>
      <c r="D14" s="2"/>
      <c r="E14" s="2"/>
      <c r="F14" s="2"/>
      <c r="G14" s="2"/>
      <c r="H14" s="2"/>
      <c r="I14" s="2"/>
      <c r="J14" s="2"/>
      <c r="K14" s="2"/>
      <c r="L14" s="2"/>
      <c r="M14" s="2"/>
    </row>
    <row r="15" spans="1:18" x14ac:dyDescent="0.3">
      <c r="A15" s="2"/>
      <c r="B15" s="2"/>
      <c r="C15" s="2"/>
      <c r="D15" s="2"/>
      <c r="E15" s="2"/>
      <c r="F15" s="2"/>
      <c r="G15" s="2"/>
      <c r="H15" s="2"/>
      <c r="I15" s="2"/>
      <c r="J15" s="2"/>
      <c r="K15" s="2"/>
      <c r="L15" s="2"/>
      <c r="M15" s="2"/>
    </row>
    <row r="16" spans="1:18" x14ac:dyDescent="0.3">
      <c r="A16" s="2"/>
      <c r="B16" s="2"/>
      <c r="C16" s="2"/>
      <c r="D16" s="2"/>
      <c r="E16" s="2"/>
      <c r="F16" s="2"/>
      <c r="G16" s="2"/>
      <c r="H16" s="2"/>
      <c r="I16" s="2"/>
      <c r="J16" s="2"/>
      <c r="K16" s="2"/>
      <c r="L16" s="2"/>
      <c r="M16" s="2"/>
    </row>
    <row r="17" spans="1:13" x14ac:dyDescent="0.3">
      <c r="A17" s="2"/>
      <c r="B17" s="2"/>
      <c r="C17" s="2"/>
      <c r="D17" s="2"/>
      <c r="E17" s="2"/>
      <c r="F17" s="2"/>
      <c r="G17" s="2"/>
      <c r="H17" s="2"/>
      <c r="I17" s="2"/>
      <c r="J17" s="2"/>
      <c r="K17" s="2"/>
      <c r="L17" s="2"/>
      <c r="M17" s="2"/>
    </row>
  </sheetData>
  <pageMargins left="0.7" right="0.7" top="0.75" bottom="0.75" header="0.3" footer="0.3"/>
  <pageSetup orientation="landscape"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539AA-FD1F-4558-B0B7-7CFCBBF65929}">
  <dimension ref="A1:N25"/>
  <sheetViews>
    <sheetView zoomScale="98" zoomScaleNormal="98" workbookViewId="0"/>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row r="23" spans="1:14" x14ac:dyDescent="0.3">
      <c r="A23" s="5"/>
      <c r="B23" s="5"/>
      <c r="C23" s="5"/>
      <c r="D23" s="5"/>
      <c r="E23" s="5"/>
      <c r="F23" s="5"/>
      <c r="G23" s="5"/>
      <c r="H23" s="5"/>
      <c r="I23" s="5"/>
      <c r="J23" s="5"/>
      <c r="K23" s="5"/>
      <c r="L23" s="5"/>
      <c r="M23" s="5"/>
      <c r="N23" s="5"/>
    </row>
    <row r="24" spans="1:14" x14ac:dyDescent="0.3">
      <c r="A24" s="5"/>
      <c r="B24" s="5"/>
      <c r="C24" s="5"/>
      <c r="D24" s="5"/>
      <c r="E24" s="5"/>
      <c r="F24" s="5"/>
      <c r="G24" s="5"/>
      <c r="H24" s="5"/>
      <c r="I24" s="5"/>
      <c r="J24" s="5"/>
      <c r="K24" s="5"/>
      <c r="L24" s="5"/>
      <c r="M24" s="5"/>
      <c r="N24" s="5"/>
    </row>
    <row r="25" spans="1:14" x14ac:dyDescent="0.3">
      <c r="A25" s="5"/>
      <c r="B25" s="5"/>
      <c r="C25" s="5"/>
      <c r="D25" s="5"/>
      <c r="E25" s="5"/>
      <c r="F25" s="5"/>
      <c r="G25" s="5"/>
      <c r="H25" s="5"/>
      <c r="I25" s="5"/>
      <c r="J25" s="5"/>
      <c r="K25" s="5"/>
      <c r="L25" s="5"/>
      <c r="M25" s="5"/>
      <c r="N25"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1244-1522-440C-87F2-2024A1A7C181}">
  <dimension ref="A1"/>
  <sheetViews>
    <sheetView zoomScaleNormal="100" workbookViewId="0">
      <selection activeCell="H28" sqref="H28"/>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38041-5E58-4FCC-9776-36F6DEE16C4C}">
  <dimension ref="A1"/>
  <sheetViews>
    <sheetView zoomScaleNormal="100" workbookViewId="0">
      <selection activeCell="U10" sqref="U10"/>
    </sheetView>
  </sheetViews>
  <sheetFormatPr defaultRowHeight="14.4" x14ac:dyDescent="0.3"/>
  <sheetData>
    <row r="1" spans="1:1" x14ac:dyDescent="0.3">
      <c r="A1" t="s">
        <v>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9B9E577-55CE-4017-9967-4E14EC19FA2B}">
  <ds:schemaRefs/>
</ds:datastoreItem>
</file>

<file path=customXml/itemProps2.xml><?xml version="1.0" encoding="utf-8"?>
<ds:datastoreItem xmlns:ds="http://schemas.openxmlformats.org/officeDocument/2006/customXml" ds:itemID="{B490B07F-7B29-40C3-AB72-863F51290F27}">
  <ds:schemaRefs/>
</ds:datastoreItem>
</file>

<file path=customXml/itemProps3.xml><?xml version="1.0" encoding="utf-8"?>
<ds:datastoreItem xmlns:ds="http://schemas.openxmlformats.org/officeDocument/2006/customXml" ds:itemID="{D7C76C45-04D5-4B86-B3A2-521DDB600919}">
  <ds:schemaRefs/>
</ds:datastoreItem>
</file>

<file path=customXml/itemProps4.xml><?xml version="1.0" encoding="utf-8"?>
<ds:datastoreItem xmlns:ds="http://schemas.openxmlformats.org/officeDocument/2006/customXml" ds:itemID="{3293DDD7-CC33-4754-9B9D-31BCBDE3C5A9}">
  <ds:schemaRefs/>
</ds:datastoreItem>
</file>

<file path=customXml/itemProps5.xml><?xml version="1.0" encoding="utf-8"?>
<ds:datastoreItem xmlns:ds="http://schemas.openxmlformats.org/officeDocument/2006/customXml" ds:itemID="{598BEF38-550E-4026-A97C-50C175AADF99}">
  <ds:schemaRefs/>
</ds:datastoreItem>
</file>

<file path=customXml/itemProps6.xml><?xml version="1.0" encoding="utf-8"?>
<ds:datastoreItem xmlns:ds="http://schemas.openxmlformats.org/officeDocument/2006/customXml" ds:itemID="{B6A54E09-3289-4DF8-9AD9-DDD0646C09CC}">
  <ds:schemaRefs/>
</ds:datastoreItem>
</file>

<file path=customXml/itemProps7.xml><?xml version="1.0" encoding="utf-8"?>
<ds:datastoreItem xmlns:ds="http://schemas.openxmlformats.org/officeDocument/2006/customXml" ds:itemID="{AAFEBEFB-A721-4258-8781-C285928125AE}">
  <ds:schemaRefs/>
</ds:datastoreItem>
</file>

<file path=customXml/itemProps8.xml><?xml version="1.0" encoding="utf-8"?>
<ds:datastoreItem xmlns:ds="http://schemas.openxmlformats.org/officeDocument/2006/customXml" ds:itemID="{46158811-444C-418B-B367-D530FDCC50AA}">
  <ds:schemaRefs/>
</ds:datastoreItem>
</file>

<file path=customXml/itemProps9.xml><?xml version="1.0" encoding="utf-8"?>
<ds:datastoreItem xmlns:ds="http://schemas.openxmlformats.org/officeDocument/2006/customXml" ds:itemID="{95D2382B-C452-431B-BD70-CA9A9FFA0FC9}">
  <ds:schemaRefs/>
</ds:datastoreItem>
</file>

<file path=customXml/itemProps10.xml><?xml version="1.0" encoding="utf-8"?>
<ds:datastoreItem xmlns:ds="http://schemas.openxmlformats.org/officeDocument/2006/customXml" ds:itemID="{A3AC080C-9C37-4CE8-B8C1-1F55514D7DC7}">
  <ds:schemaRefs/>
</ds:datastoreItem>
</file>

<file path=customXml/itemProps11.xml><?xml version="1.0" encoding="utf-8"?>
<ds:datastoreItem xmlns:ds="http://schemas.openxmlformats.org/officeDocument/2006/customXml" ds:itemID="{B16FF046-41A0-4E23-8DBB-E896F96446A8}">
  <ds:schemaRefs/>
</ds:datastoreItem>
</file>

<file path=customXml/itemProps12.xml><?xml version="1.0" encoding="utf-8"?>
<ds:datastoreItem xmlns:ds="http://schemas.openxmlformats.org/officeDocument/2006/customXml" ds:itemID="{0D2BDA09-0F8A-465E-862F-3194D505F171}">
  <ds:schemaRefs/>
</ds:datastoreItem>
</file>

<file path=customXml/itemProps13.xml><?xml version="1.0" encoding="utf-8"?>
<ds:datastoreItem xmlns:ds="http://schemas.openxmlformats.org/officeDocument/2006/customXml" ds:itemID="{DF2E5C95-08CD-4070-8BE0-ADBC933440DC}">
  <ds:schemaRefs/>
</ds:datastoreItem>
</file>

<file path=customXml/itemProps14.xml><?xml version="1.0" encoding="utf-8"?>
<ds:datastoreItem xmlns:ds="http://schemas.openxmlformats.org/officeDocument/2006/customXml" ds:itemID="{E3374008-B3A0-4321-AF5D-6D2E789FAF34}">
  <ds:schemaRefs/>
</ds:datastoreItem>
</file>

<file path=customXml/itemProps15.xml><?xml version="1.0" encoding="utf-8"?>
<ds:datastoreItem xmlns:ds="http://schemas.openxmlformats.org/officeDocument/2006/customXml" ds:itemID="{53DEF56C-A07E-46C9-A0EF-4BD83430F70F}">
  <ds:schemaRefs/>
</ds:datastoreItem>
</file>

<file path=customXml/itemProps16.xml><?xml version="1.0" encoding="utf-8"?>
<ds:datastoreItem xmlns:ds="http://schemas.openxmlformats.org/officeDocument/2006/customXml" ds:itemID="{56AE18D4-2F58-4F39-91FB-217749E31C25}">
  <ds:schemaRefs>
    <ds:schemaRef ds:uri="http://schemas.microsoft.com/DataMashup"/>
  </ds:schemaRefs>
</ds:datastoreItem>
</file>

<file path=customXml/itemProps17.xml><?xml version="1.0" encoding="utf-8"?>
<ds:datastoreItem xmlns:ds="http://schemas.openxmlformats.org/officeDocument/2006/customXml" ds:itemID="{8F0B735E-1E0D-4B14-AC0B-158457FF0184}">
  <ds:schemaRefs/>
</ds:datastoreItem>
</file>

<file path=customXml/itemProps18.xml><?xml version="1.0" encoding="utf-8"?>
<ds:datastoreItem xmlns:ds="http://schemas.openxmlformats.org/officeDocument/2006/customXml" ds:itemID="{68B8AB2A-3B81-4819-BE61-76FC67A3C2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with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premborawake2005@outlook.com</dc:creator>
  <cp:lastModifiedBy>premborawake2005@outlook.com</cp:lastModifiedBy>
  <dcterms:created xsi:type="dcterms:W3CDTF">2025-08-31T07:17:22Z</dcterms:created>
  <dcterms:modified xsi:type="dcterms:W3CDTF">2026-01-17T07:37:30Z</dcterms:modified>
</cp:coreProperties>
</file>